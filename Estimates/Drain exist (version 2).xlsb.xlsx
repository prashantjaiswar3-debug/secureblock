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sh\OneDrive\Desktop\"/>
    </mc:Choice>
  </mc:AlternateContent>
  <xr:revisionPtr revIDLastSave="0" documentId="13_ncr:1_{0EA91A1B-868F-4FA9-97FB-1B5E5BCE55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 (3)" sheetId="5" r:id="rId1"/>
    <sheet name="Sheet1 (2)" sheetId="4" r:id="rId2"/>
    <sheet name="Sheet1" sheetId="1" r:id="rId3"/>
    <sheet name="Sheet2" sheetId="2" r:id="rId4"/>
    <sheet name="Sheet3" sheetId="3" r:id="rId5"/>
  </sheets>
  <definedNames>
    <definedName name="_xlnm.Print_Area" localSheetId="2">Sheet1!$A$1:$Q$35</definedName>
    <definedName name="_xlnm.Print_Area" localSheetId="1">'Sheet1 (2)'!$A$1:$Q$34</definedName>
    <definedName name="_xlnm.Print_Area" localSheetId="0">'Sheet1 (3)'!$A$1:$Q$34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7" i="5" l="1"/>
  <c r="E30" i="5" s="1"/>
  <c r="T5" i="5"/>
  <c r="T6" i="5" s="1"/>
  <c r="T7" i="5" s="1"/>
  <c r="T8" i="5" s="1"/>
  <c r="T9" i="5" s="1"/>
  <c r="T10" i="5" s="1"/>
  <c r="P27" i="4"/>
  <c r="T5" i="4"/>
  <c r="T6" i="4" s="1"/>
  <c r="T7" i="4" s="1"/>
  <c r="T8" i="4" s="1"/>
  <c r="T9" i="4" s="1"/>
  <c r="T10" i="4" s="1"/>
  <c r="M31" i="1"/>
  <c r="E31" i="1"/>
  <c r="I24" i="1" s="1"/>
  <c r="T6" i="1"/>
  <c r="T7" i="1" s="1"/>
  <c r="T8" i="1" s="1"/>
  <c r="T9" i="1" s="1"/>
  <c r="T10" i="1" s="1"/>
  <c r="T11" i="1" s="1"/>
  <c r="M30" i="5" l="1"/>
  <c r="I23" i="5" s="1"/>
  <c r="A27" i="4"/>
  <c r="E30" i="4" l="1"/>
  <c r="M30" i="4" s="1"/>
  <c r="I23" i="4" l="1"/>
</calcChain>
</file>

<file path=xl/sharedStrings.xml><?xml version="1.0" encoding="utf-8"?>
<sst xmlns="http://schemas.openxmlformats.org/spreadsheetml/2006/main" count="30" uniqueCount="15">
  <si>
    <t>Gram Panchayat :</t>
  </si>
  <si>
    <t>ADAMPUR</t>
  </si>
  <si>
    <t>Name of work :</t>
  </si>
  <si>
    <t xml:space="preserve">GP ADAMPUR ME DARGAH SIVAN SE BELASH KE KHET </t>
  </si>
  <si>
    <t>TAK NALA KHUDYE KARYA</t>
  </si>
  <si>
    <t xml:space="preserve">Length in meters </t>
  </si>
  <si>
    <t>Proposed line</t>
  </si>
  <si>
    <t>Ground Level</t>
  </si>
  <si>
    <t>Exist line</t>
  </si>
  <si>
    <t>L - section plan of site.</t>
  </si>
  <si>
    <t>1:1</t>
  </si>
  <si>
    <t>C - section plan of site.</t>
  </si>
  <si>
    <t>1.00:0.50</t>
  </si>
  <si>
    <t>3156002008/FP/YD/958486255823619428 - GP BELAULI ME CHHEDI KE CHAK SE KAILASH KE CHAK TAK BAHA SAFAI KARY</t>
  </si>
  <si>
    <t>3156002039/FP/YD/958486255823619512 - GP LAGHUWAI MUSTFABAD ME MIYA POKHARA SE PAHADIPUR SIWAN TAK BAHA NALA KA SAFAI O KHUDAI KARY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</si>
</sst>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u/>
      <sz val="20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 diagonalDown="1">
      <left/>
      <right/>
      <top/>
      <bottom/>
      <diagonal style="thin">
        <color auto="1"/>
      </diagonal>
    </border>
    <border>
      <left/>
      <right style="thin">
        <color auto="1"/>
      </right>
      <top style="thin">
        <color auto="1"/>
      </top>
      <bottom/>
      <diagonal/>
    </border>
    <border diagonalDown="1">
      <left style="dotted">
        <color indexed="64"/>
      </left>
      <right/>
      <top style="thin">
        <color indexed="64"/>
      </top>
      <bottom/>
      <diagonal style="thin">
        <color auto="1"/>
      </diagonal>
    </border>
    <border diagonalUp="1">
      <left/>
      <right style="dotted">
        <color indexed="64"/>
      </right>
      <top style="thin">
        <color indexed="64"/>
      </top>
      <bottom/>
      <diagonal style="thin">
        <color auto="1"/>
      </diagonal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 diagonalDown="1">
      <left/>
      <right style="dotted">
        <color indexed="64"/>
      </right>
      <top/>
      <bottom style="dotted">
        <color indexed="64"/>
      </bottom>
      <diagonal style="thin">
        <color auto="1"/>
      </diagonal>
    </border>
    <border diagonalUp="1">
      <left style="dotted">
        <color indexed="64"/>
      </left>
      <right/>
      <top/>
      <bottom style="dotted">
        <color indexed="64"/>
      </bottom>
      <diagonal style="thin">
        <color auto="1"/>
      </diagonal>
    </border>
    <border>
      <left/>
      <right/>
      <top style="dotted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1" fontId="1" fillId="0" borderId="0" xfId="0" applyNumberFormat="1" applyFont="1"/>
    <xf numFmtId="2" fontId="1" fillId="0" borderId="0" xfId="0" applyNumberFormat="1" applyFont="1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2" fontId="4" fillId="0" borderId="8" xfId="0" applyNumberFormat="1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2" fontId="4" fillId="0" borderId="6" xfId="0" applyNumberFormat="1" applyFont="1" applyBorder="1" applyAlignment="1">
      <alignment vertical="center"/>
    </xf>
    <xf numFmtId="2" fontId="4" fillId="0" borderId="2" xfId="0" applyNumberFormat="1" applyFont="1" applyBorder="1" applyAlignment="1">
      <alignment vertical="center"/>
    </xf>
    <xf numFmtId="2" fontId="4" fillId="0" borderId="1" xfId="0" applyNumberFormat="1" applyFont="1" applyBorder="1" applyAlignment="1">
      <alignment vertical="center"/>
    </xf>
    <xf numFmtId="0" fontId="1" fillId="0" borderId="0" xfId="0" applyFont="1" applyAlignment="1">
      <alignment horizont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4" fillId="0" borderId="8" xfId="0" applyFont="1" applyBorder="1" applyAlignment="1">
      <alignment horizontal="center" vertical="center"/>
    </xf>
    <xf numFmtId="2" fontId="4" fillId="0" borderId="3" xfId="0" applyNumberFormat="1" applyFont="1" applyBorder="1" applyAlignment="1">
      <alignment vertical="center"/>
    </xf>
    <xf numFmtId="2" fontId="4" fillId="0" borderId="5" xfId="0" applyNumberFormat="1" applyFont="1" applyBorder="1" applyAlignment="1">
      <alignment vertical="center"/>
    </xf>
    <xf numFmtId="2" fontId="4" fillId="0" borderId="17" xfId="0" applyNumberFormat="1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24" xfId="0" applyFont="1" applyBorder="1" applyAlignment="1">
      <alignment horizontal="left" vertical="center" wrapText="1" indent="1"/>
    </xf>
    <xf numFmtId="0" fontId="1" fillId="0" borderId="14" xfId="0" applyFont="1" applyBorder="1" applyAlignment="1">
      <alignment horizontal="left" vertical="center" wrapText="1" indent="1"/>
    </xf>
    <xf numFmtId="0" fontId="3" fillId="0" borderId="0" xfId="0" applyFont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4" fillId="0" borderId="9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1" fillId="0" borderId="0" xfId="0" applyFont="1"/>
    <xf numFmtId="0" fontId="1" fillId="0" borderId="14" xfId="0" applyFont="1" applyBorder="1" applyAlignment="1">
      <alignment horizontal="left" indent="1"/>
    </xf>
    <xf numFmtId="0" fontId="1" fillId="0" borderId="15" xfId="0" applyFont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374567807844991"/>
          <c:y val="4.6260498687663965E-2"/>
          <c:w val="0.78520143497346673"/>
          <c:h val="0.64781266404199478"/>
        </c:manualLayout>
      </c:layout>
      <c:lineChart>
        <c:grouping val="standard"/>
        <c:varyColors val="0"/>
        <c:ser>
          <c:idx val="1"/>
          <c:order val="1"/>
          <c:tx>
            <c:strRef>
              <c:f>'Sheet1 (3)'!$V$3</c:f>
              <c:strCache>
                <c:ptCount val="1"/>
                <c:pt idx="0">
                  <c:v>Exist line</c:v>
                </c:pt>
              </c:strCache>
            </c:strRef>
          </c:tx>
          <c:dLbls>
            <c:spPr>
              <a:ln cap="rnd">
                <a:miter lim="800000"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'Sheet1 (3)'!$S$4:$S$10</c:f>
              <c:numCache>
                <c:formatCode>0</c:formatCode>
                <c:ptCount val="4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120</c:v>
                </c:pt>
              </c:numCache>
            </c:numRef>
          </c:cat>
          <c:val>
            <c:numRef>
              <c:f>'Sheet1 (3)'!$V$4:$V$10</c:f>
              <c:numCache>
                <c:formatCode>0.00</c:formatCode>
                <c:ptCount val="4"/>
                <c:pt idx="0">
                  <c:v>0.36</c:v>
                </c:pt>
                <c:pt idx="1">
                  <c:v>0.45</c:v>
                </c:pt>
                <c:pt idx="2">
                  <c:v>0.47</c:v>
                </c:pt>
                <c:pt idx="3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77-4D7D-8844-F0F725B65C6A}"/>
            </c:ext>
          </c:extLst>
        </c:ser>
        <c:ser>
          <c:idx val="0"/>
          <c:order val="0"/>
          <c:tx>
            <c:strRef>
              <c:f>'Sheet1 (3)'!$T$3</c:f>
              <c:strCache>
                <c:ptCount val="1"/>
                <c:pt idx="0">
                  <c:v>Proposed line</c:v>
                </c:pt>
              </c:strCache>
            </c:strRef>
          </c:tx>
          <c:cat>
            <c:numRef>
              <c:f>'Sheet1 (3)'!$S$4:$S$10</c:f>
              <c:numCache>
                <c:formatCode>0</c:formatCode>
                <c:ptCount val="4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120</c:v>
                </c:pt>
              </c:numCache>
            </c:numRef>
          </c:cat>
          <c:val>
            <c:numRef>
              <c:f>'Sheet1 (3)'!$T$4:$T$10</c:f>
              <c:numCache>
                <c:formatCode>0.00</c:formatCode>
                <c:ptCount val="4"/>
                <c:pt idx="0">
                  <c:v>1.2</c:v>
                </c:pt>
                <c:pt idx="1">
                  <c:v>1.2</c:v>
                </c:pt>
                <c:pt idx="2">
                  <c:v>1.2</c:v>
                </c:pt>
                <c:pt idx="3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77-4D7D-8844-F0F725B65C6A}"/>
            </c:ext>
          </c:extLst>
        </c:ser>
        <c:ser>
          <c:idx val="2"/>
          <c:order val="2"/>
          <c:tx>
            <c:strRef>
              <c:f>'Sheet1 (3)'!$U$3</c:f>
              <c:strCache>
                <c:ptCount val="1"/>
                <c:pt idx="0">
                  <c:v>Ground Level</c:v>
                </c:pt>
              </c:strCache>
            </c:strRef>
          </c:tx>
          <c:cat>
            <c:numRef>
              <c:f>'Sheet1 (3)'!$S$4:$S$10</c:f>
              <c:numCache>
                <c:formatCode>0</c:formatCode>
                <c:ptCount val="4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120</c:v>
                </c:pt>
              </c:numCache>
            </c:numRef>
          </c:cat>
          <c:val>
            <c:numRef>
              <c:f>'Sheet1 (3)'!$U$4:$U$10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77-4D7D-8844-F0F725B65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374144"/>
        <c:axId val="48375680"/>
      </c:lineChart>
      <c:catAx>
        <c:axId val="48374144"/>
        <c:scaling>
          <c:orientation val="minMax"/>
        </c:scaling>
        <c:delete val="0"/>
        <c:axPos val="t"/>
        <c:numFmt formatCode="0" sourceLinked="1"/>
        <c:majorTickMark val="none"/>
        <c:minorTickMark val="none"/>
        <c:tickLblPos val="nextTo"/>
        <c:crossAx val="48375680"/>
        <c:crosses val="autoZero"/>
        <c:auto val="1"/>
        <c:lblAlgn val="ctr"/>
        <c:lblOffset val="100"/>
        <c:noMultiLvlLbl val="0"/>
      </c:catAx>
      <c:valAx>
        <c:axId val="48375680"/>
        <c:scaling>
          <c:orientation val="maxMin"/>
          <c:max val="1.5"/>
          <c:min val="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sz="16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600">
                    <a:latin typeface="Times New Roman" pitchFamily="18" charset="0"/>
                    <a:cs typeface="Times New Roman" pitchFamily="18" charset="0"/>
                  </a:rPr>
                  <a:t>Depth in meters</a:t>
                </a:r>
              </a:p>
            </c:rich>
          </c:tx>
          <c:overlay val="0"/>
        </c:title>
        <c:numFmt formatCode="0.00" sourceLinked="1"/>
        <c:majorTickMark val="in"/>
        <c:minorTickMark val="in"/>
        <c:tickLblPos val="low"/>
        <c:crossAx val="48374144"/>
        <c:crosses val="autoZero"/>
        <c:crossBetween val="between"/>
        <c:majorUnit val="0.30000000000000032"/>
        <c:minorUnit val="0.15000000000000022"/>
      </c:valAx>
      <c:dTable>
        <c:showHorzBorder val="1"/>
        <c:showVertBorder val="1"/>
        <c:showOutline val="1"/>
        <c:showKeys val="1"/>
      </c:dTable>
    </c:plotArea>
    <c:plotVisOnly val="1"/>
    <c:dispBlanksAs val="zero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374567807844991"/>
          <c:y val="4.6260498687663965E-2"/>
          <c:w val="0.78520143497346673"/>
          <c:h val="0.64781266404199478"/>
        </c:manualLayout>
      </c:layout>
      <c:lineChart>
        <c:grouping val="standard"/>
        <c:varyColors val="0"/>
        <c:ser>
          <c:idx val="1"/>
          <c:order val="1"/>
          <c:tx>
            <c:strRef>
              <c:f>'Sheet1 (2)'!$V$3</c:f>
              <c:strCache>
                <c:ptCount val="1"/>
                <c:pt idx="0">
                  <c:v>Exist line</c:v>
                </c:pt>
              </c:strCache>
            </c:strRef>
          </c:tx>
          <c:dLbls>
            <c:spPr>
              <a:ln cap="rnd">
                <a:miter lim="800000"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'Sheet1 (2)'!$S$4:$S$10</c:f>
              <c:numCache>
                <c:formatCode>0</c:formatCode>
                <c:ptCount val="5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</c:numCache>
            </c:numRef>
          </c:cat>
          <c:val>
            <c:numRef>
              <c:f>'Sheet1 (2)'!$V$4:$V$10</c:f>
              <c:numCache>
                <c:formatCode>0.00</c:formatCode>
                <c:ptCount val="5"/>
                <c:pt idx="0">
                  <c:v>0.86</c:v>
                </c:pt>
                <c:pt idx="1">
                  <c:v>0.92</c:v>
                </c:pt>
                <c:pt idx="2">
                  <c:v>0.8</c:v>
                </c:pt>
                <c:pt idx="3">
                  <c:v>0.8</c:v>
                </c:pt>
                <c:pt idx="4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4D-40F8-9CEA-9F3935A3184B}"/>
            </c:ext>
          </c:extLst>
        </c:ser>
        <c:ser>
          <c:idx val="0"/>
          <c:order val="0"/>
          <c:tx>
            <c:strRef>
              <c:f>'Sheet1 (2)'!$T$3</c:f>
              <c:strCache>
                <c:ptCount val="1"/>
                <c:pt idx="0">
                  <c:v>Proposed line</c:v>
                </c:pt>
              </c:strCache>
            </c:strRef>
          </c:tx>
          <c:cat>
            <c:numRef>
              <c:f>'Sheet1 (2)'!$S$4:$S$10</c:f>
              <c:numCache>
                <c:formatCode>0</c:formatCode>
                <c:ptCount val="5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</c:numCache>
            </c:numRef>
          </c:cat>
          <c:val>
            <c:numRef>
              <c:f>'Sheet1 (2)'!$T$4:$T$10</c:f>
              <c:numCache>
                <c:formatCode>0.00</c:formatCode>
                <c:ptCount val="5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  <c:pt idx="3">
                  <c:v>1.5</c:v>
                </c:pt>
                <c:pt idx="4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4D-40F8-9CEA-9F3935A3184B}"/>
            </c:ext>
          </c:extLst>
        </c:ser>
        <c:ser>
          <c:idx val="2"/>
          <c:order val="2"/>
          <c:tx>
            <c:strRef>
              <c:f>'Sheet1 (2)'!$U$3</c:f>
              <c:strCache>
                <c:ptCount val="1"/>
                <c:pt idx="0">
                  <c:v>Ground Level</c:v>
                </c:pt>
              </c:strCache>
            </c:strRef>
          </c:tx>
          <c:cat>
            <c:numRef>
              <c:f>'Sheet1 (2)'!$S$4:$S$10</c:f>
              <c:numCache>
                <c:formatCode>0</c:formatCode>
                <c:ptCount val="5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</c:numCache>
            </c:numRef>
          </c:cat>
          <c:val>
            <c:numRef>
              <c:f>'Sheet1 (2)'!$U$4:$U$10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4D-40F8-9CEA-9F3935A31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374144"/>
        <c:axId val="48375680"/>
      </c:lineChart>
      <c:catAx>
        <c:axId val="48374144"/>
        <c:scaling>
          <c:orientation val="minMax"/>
        </c:scaling>
        <c:delete val="0"/>
        <c:axPos val="t"/>
        <c:numFmt formatCode="0" sourceLinked="1"/>
        <c:majorTickMark val="none"/>
        <c:minorTickMark val="none"/>
        <c:tickLblPos val="nextTo"/>
        <c:crossAx val="48375680"/>
        <c:crosses val="autoZero"/>
        <c:auto val="1"/>
        <c:lblAlgn val="ctr"/>
        <c:lblOffset val="100"/>
        <c:noMultiLvlLbl val="0"/>
      </c:catAx>
      <c:valAx>
        <c:axId val="48375680"/>
        <c:scaling>
          <c:orientation val="maxMin"/>
          <c:max val="1.5"/>
          <c:min val="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sz="16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600">
                    <a:latin typeface="Times New Roman" pitchFamily="18" charset="0"/>
                    <a:cs typeface="Times New Roman" pitchFamily="18" charset="0"/>
                  </a:rPr>
                  <a:t>Depth in meters</a:t>
                </a:r>
              </a:p>
            </c:rich>
          </c:tx>
          <c:overlay val="0"/>
        </c:title>
        <c:numFmt formatCode="0.00" sourceLinked="1"/>
        <c:majorTickMark val="in"/>
        <c:minorTickMark val="in"/>
        <c:tickLblPos val="low"/>
        <c:crossAx val="48374144"/>
        <c:crosses val="autoZero"/>
        <c:crossBetween val="between"/>
        <c:majorUnit val="0.30000000000000032"/>
        <c:minorUnit val="0.15000000000000022"/>
      </c:valAx>
      <c:dTable>
        <c:showHorzBorder val="1"/>
        <c:showVertBorder val="1"/>
        <c:showOutline val="1"/>
        <c:showKeys val="1"/>
      </c:dTable>
    </c:plotArea>
    <c:plotVisOnly val="1"/>
    <c:dispBlanksAs val="zero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374567807844991"/>
          <c:y val="4.6260498687663965E-2"/>
          <c:w val="0.78520143497346673"/>
          <c:h val="0.64781266404199478"/>
        </c:manualLayout>
      </c:layout>
      <c:lineChart>
        <c:grouping val="standard"/>
        <c:varyColors val="0"/>
        <c:ser>
          <c:idx val="1"/>
          <c:order val="1"/>
          <c:tx>
            <c:strRef>
              <c:f>Sheet1!$V$4</c:f>
              <c:strCache>
                <c:ptCount val="1"/>
                <c:pt idx="0">
                  <c:v>Exist line</c:v>
                </c:pt>
              </c:strCache>
            </c:strRef>
          </c:tx>
          <c:dLbls>
            <c:spPr>
              <a:ln cap="rnd">
                <a:miter lim="800000"/>
              </a:ln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Sheet1!$S$5:$S$11</c:f>
              <c:numCache>
                <c:formatCode>0</c:formatCode>
                <c:ptCount val="6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220</c:v>
                </c:pt>
              </c:numCache>
            </c:numRef>
          </c:cat>
          <c:val>
            <c:numRef>
              <c:f>Sheet1!$V$5:$V$11</c:f>
              <c:numCache>
                <c:formatCode>0.00</c:formatCode>
                <c:ptCount val="6"/>
                <c:pt idx="0">
                  <c:v>1.34</c:v>
                </c:pt>
                <c:pt idx="1">
                  <c:v>1.4</c:v>
                </c:pt>
                <c:pt idx="2">
                  <c:v>1.38</c:v>
                </c:pt>
                <c:pt idx="3">
                  <c:v>1.35</c:v>
                </c:pt>
                <c:pt idx="4">
                  <c:v>1.35</c:v>
                </c:pt>
                <c:pt idx="5">
                  <c:v>1.42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FD-47E5-BB82-C2228FDBE734}"/>
            </c:ext>
          </c:extLst>
        </c:ser>
        <c:ser>
          <c:idx val="0"/>
          <c:order val="0"/>
          <c:tx>
            <c:strRef>
              <c:f>Sheet1!$T$4</c:f>
              <c:strCache>
                <c:ptCount val="1"/>
                <c:pt idx="0">
                  <c:v>Proposed line</c:v>
                </c:pt>
              </c:strCache>
            </c:strRef>
          </c:tx>
          <c:cat>
            <c:numRef>
              <c:f>Sheet1!$S$5:$S$11</c:f>
              <c:numCache>
                <c:formatCode>0</c:formatCode>
                <c:ptCount val="6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220</c:v>
                </c:pt>
              </c:numCache>
            </c:numRef>
          </c:cat>
          <c:val>
            <c:numRef>
              <c:f>Sheet1!$T$5:$T$11</c:f>
              <c:numCache>
                <c:formatCode>0.00</c:formatCode>
                <c:ptCount val="6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FD-47E5-BB82-C2228FDBE734}"/>
            </c:ext>
          </c:extLst>
        </c:ser>
        <c:ser>
          <c:idx val="2"/>
          <c:order val="2"/>
          <c:tx>
            <c:strRef>
              <c:f>Sheet1!$U$4</c:f>
              <c:strCache>
                <c:ptCount val="1"/>
                <c:pt idx="0">
                  <c:v>Ground Level</c:v>
                </c:pt>
              </c:strCache>
            </c:strRef>
          </c:tx>
          <c:cat>
            <c:numRef>
              <c:f>Sheet1!$S$5:$S$11</c:f>
              <c:numCache>
                <c:formatCode>0</c:formatCode>
                <c:ptCount val="6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220</c:v>
                </c:pt>
              </c:numCache>
            </c:numRef>
          </c:cat>
          <c:val>
            <c:numRef>
              <c:f>Sheet1!$U$5:$U$11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FD-47E5-BB82-C2228FDBE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374144"/>
        <c:axId val="48375680"/>
      </c:lineChart>
      <c:catAx>
        <c:axId val="48374144"/>
        <c:scaling>
          <c:orientation val="minMax"/>
        </c:scaling>
        <c:delete val="0"/>
        <c:axPos val="t"/>
        <c:numFmt formatCode="0" sourceLinked="1"/>
        <c:majorTickMark val="none"/>
        <c:minorTickMark val="none"/>
        <c:tickLblPos val="nextTo"/>
        <c:crossAx val="48375680"/>
        <c:crosses val="autoZero"/>
        <c:auto val="1"/>
        <c:lblAlgn val="ctr"/>
        <c:lblOffset val="100"/>
        <c:noMultiLvlLbl val="0"/>
      </c:catAx>
      <c:valAx>
        <c:axId val="48375680"/>
        <c:scaling>
          <c:orientation val="maxMin"/>
          <c:max val="1.5"/>
          <c:min val="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 sz="1600">
                    <a:latin typeface="Times New Roman" pitchFamily="18" charset="0"/>
                    <a:cs typeface="Times New Roman" pitchFamily="18" charset="0"/>
                  </a:defRPr>
                </a:pPr>
                <a:r>
                  <a:rPr lang="en-US" sz="1600">
                    <a:latin typeface="Times New Roman" pitchFamily="18" charset="0"/>
                    <a:cs typeface="Times New Roman" pitchFamily="18" charset="0"/>
                  </a:rPr>
                  <a:t>Depth in meters</a:t>
                </a:r>
              </a:p>
            </c:rich>
          </c:tx>
          <c:overlay val="0"/>
        </c:title>
        <c:numFmt formatCode="0.00" sourceLinked="1"/>
        <c:majorTickMark val="in"/>
        <c:minorTickMark val="in"/>
        <c:tickLblPos val="low"/>
        <c:crossAx val="48374144"/>
        <c:crosses val="autoZero"/>
        <c:crossBetween val="between"/>
        <c:majorUnit val="0.30000000000000032"/>
        <c:minorUnit val="0.15000000000000022"/>
      </c:valAx>
      <c:dTable>
        <c:showHorzBorder val="1"/>
        <c:showVertBorder val="1"/>
        <c:showOutline val="1"/>
        <c:showKeys val="1"/>
      </c:dTable>
    </c:plotArea>
    <c:plotVisOnly val="1"/>
    <c:dispBlanksAs val="zero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0</xdr:rowOff>
    </xdr:from>
    <xdr:to>
      <xdr:col>16</xdr:col>
      <xdr:colOff>209550</xdr:colOff>
      <xdr:row>18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5E072F-C15A-429E-B718-9A0630075A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0</xdr:rowOff>
    </xdr:from>
    <xdr:to>
      <xdr:col>16</xdr:col>
      <xdr:colOff>209550</xdr:colOff>
      <xdr:row>18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2E90C4-6E60-4C2A-8502-B35D07BB35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4</xdr:row>
      <xdr:rowOff>0</xdr:rowOff>
    </xdr:from>
    <xdr:to>
      <xdr:col>16</xdr:col>
      <xdr:colOff>209550</xdr:colOff>
      <xdr:row>19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7DD6-54CF-423A-A68F-95693D32D881}">
  <sheetPr>
    <pageSetUpPr fitToPage="1"/>
  </sheetPr>
  <dimension ref="A1:V33"/>
  <sheetViews>
    <sheetView tabSelected="1" workbookViewId="0">
      <selection activeCell="E1" sqref="E1:Q2"/>
    </sheetView>
  </sheetViews>
  <sheetFormatPr defaultColWidth="5.7109375" defaultRowHeight="15" x14ac:dyDescent="0.25"/>
  <cols>
    <col min="1" max="16384" width="5.7109375" style="1"/>
  </cols>
  <sheetData>
    <row r="1" spans="1:22" ht="34.5" customHeight="1" x14ac:dyDescent="0.25">
      <c r="A1" s="35" t="s">
        <v>2</v>
      </c>
      <c r="B1" s="35"/>
      <c r="C1" s="35"/>
      <c r="D1" s="35"/>
      <c r="E1" s="36" t="s">
        <v>14</v>
      </c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 spans="1:22" ht="34.5" customHeight="1" x14ac:dyDescent="0.25">
      <c r="A2" s="35"/>
      <c r="B2" s="35"/>
      <c r="C2" s="35"/>
      <c r="D2" s="35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</row>
    <row r="3" spans="1:22" x14ac:dyDescent="0.25"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S3" s="1" t="s">
        <v>5</v>
      </c>
      <c r="T3" s="1" t="s">
        <v>6</v>
      </c>
      <c r="U3" s="1" t="s">
        <v>7</v>
      </c>
      <c r="V3" s="1" t="s">
        <v>8</v>
      </c>
    </row>
    <row r="4" spans="1:22" x14ac:dyDescent="0.25">
      <c r="S4" s="2">
        <v>0</v>
      </c>
      <c r="T4" s="3">
        <v>1.2</v>
      </c>
      <c r="U4" s="3">
        <v>0</v>
      </c>
      <c r="V4" s="3">
        <v>0.36</v>
      </c>
    </row>
    <row r="5" spans="1:22" x14ac:dyDescent="0.25">
      <c r="C5" s="2"/>
      <c r="D5" s="3"/>
      <c r="E5" s="3"/>
      <c r="F5" s="3"/>
      <c r="S5" s="2">
        <v>50</v>
      </c>
      <c r="T5" s="3">
        <f t="shared" ref="T5:T10" si="0">T4</f>
        <v>1.2</v>
      </c>
      <c r="U5" s="3">
        <v>0</v>
      </c>
      <c r="V5" s="3">
        <v>0.45</v>
      </c>
    </row>
    <row r="6" spans="1:22" x14ac:dyDescent="0.25">
      <c r="C6" s="2"/>
      <c r="D6" s="3"/>
      <c r="E6" s="3"/>
      <c r="F6" s="3"/>
      <c r="S6" s="2">
        <v>100</v>
      </c>
      <c r="T6" s="3">
        <f t="shared" si="0"/>
        <v>1.2</v>
      </c>
      <c r="U6" s="3">
        <v>0</v>
      </c>
      <c r="V6" s="3">
        <v>0.47</v>
      </c>
    </row>
    <row r="7" spans="1:22" x14ac:dyDescent="0.25">
      <c r="C7" s="2"/>
      <c r="D7" s="3"/>
      <c r="E7" s="3"/>
      <c r="F7" s="3"/>
      <c r="S7" s="2">
        <v>120</v>
      </c>
      <c r="T7" s="3">
        <f t="shared" si="0"/>
        <v>1.2</v>
      </c>
      <c r="U7" s="3">
        <v>0</v>
      </c>
      <c r="V7" s="3">
        <v>0.54</v>
      </c>
    </row>
    <row r="8" spans="1:22" hidden="1" x14ac:dyDescent="0.25">
      <c r="C8" s="2"/>
      <c r="D8" s="3"/>
      <c r="E8" s="3"/>
      <c r="F8" s="3"/>
      <c r="S8" s="2">
        <v>400</v>
      </c>
      <c r="T8" s="3">
        <f t="shared" si="0"/>
        <v>1.2</v>
      </c>
      <c r="U8" s="3">
        <v>0</v>
      </c>
      <c r="V8" s="3">
        <v>0.47</v>
      </c>
    </row>
    <row r="9" spans="1:22" hidden="1" x14ac:dyDescent="0.25">
      <c r="C9" s="2"/>
      <c r="D9" s="3"/>
      <c r="E9" s="3"/>
      <c r="F9" s="3"/>
      <c r="S9" s="2">
        <v>400</v>
      </c>
      <c r="T9" s="3">
        <f t="shared" si="0"/>
        <v>1.2</v>
      </c>
      <c r="U9" s="3">
        <v>0</v>
      </c>
      <c r="V9" s="3">
        <v>0.47</v>
      </c>
    </row>
    <row r="10" spans="1:22" hidden="1" x14ac:dyDescent="0.25">
      <c r="C10" s="2"/>
      <c r="D10" s="3"/>
      <c r="E10" s="3"/>
      <c r="F10" s="3"/>
      <c r="S10" s="2">
        <v>1200</v>
      </c>
      <c r="T10" s="3">
        <f t="shared" si="0"/>
        <v>1.2</v>
      </c>
      <c r="U10" s="3">
        <v>0</v>
      </c>
      <c r="V10" s="3">
        <v>0.47</v>
      </c>
    </row>
    <row r="11" spans="1:22" x14ac:dyDescent="0.25">
      <c r="C11" s="2"/>
      <c r="D11" s="3"/>
      <c r="E11" s="3"/>
      <c r="F11" s="3"/>
    </row>
    <row r="16" spans="1:22" x14ac:dyDescent="0.25">
      <c r="D16" s="4"/>
      <c r="E16" s="4"/>
      <c r="F16" s="4"/>
      <c r="G16" s="4"/>
      <c r="H16" s="4"/>
      <c r="I16" s="4"/>
    </row>
    <row r="17" spans="1:17" x14ac:dyDescent="0.25">
      <c r="F17" s="3"/>
      <c r="G17" s="3"/>
    </row>
    <row r="18" spans="1:17" x14ac:dyDescent="0.25">
      <c r="F18" s="3"/>
      <c r="G18" s="3"/>
    </row>
    <row r="19" spans="1:17" x14ac:dyDescent="0.25">
      <c r="F19" s="3"/>
      <c r="G19" s="3"/>
    </row>
    <row r="20" spans="1:17" x14ac:dyDescent="0.25">
      <c r="F20" s="3"/>
      <c r="G20" s="3"/>
    </row>
    <row r="21" spans="1:17" ht="26.25" x14ac:dyDescent="0.25">
      <c r="A21" s="38" t="s">
        <v>9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</row>
    <row r="22" spans="1:17" x14ac:dyDescent="0.25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1:17" x14ac:dyDescent="0.25">
      <c r="C23" s="5"/>
      <c r="D23" s="6"/>
      <c r="E23" s="15"/>
      <c r="F23" s="13"/>
      <c r="G23" s="13"/>
      <c r="H23" s="15"/>
      <c r="I23" s="39">
        <f>E30+I30+M30</f>
        <v>4</v>
      </c>
      <c r="J23" s="15"/>
      <c r="K23" s="13"/>
      <c r="L23" s="13"/>
      <c r="M23" s="15"/>
      <c r="N23" s="7"/>
      <c r="O23" s="5"/>
      <c r="P23" s="5"/>
      <c r="Q23" s="5"/>
    </row>
    <row r="24" spans="1:17" x14ac:dyDescent="0.25">
      <c r="C24" s="5"/>
      <c r="D24" s="11"/>
      <c r="E24" s="16"/>
      <c r="F24" s="10"/>
      <c r="G24" s="10"/>
      <c r="H24" s="16"/>
      <c r="I24" s="40"/>
      <c r="J24" s="16"/>
      <c r="K24" s="10"/>
      <c r="L24" s="10"/>
      <c r="M24" s="16"/>
      <c r="N24" s="19"/>
      <c r="O24" s="5"/>
      <c r="P24" s="5"/>
      <c r="Q24" s="5"/>
    </row>
    <row r="25" spans="1:17" x14ac:dyDescent="0.25">
      <c r="C25" s="24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24"/>
      <c r="P25" s="5"/>
      <c r="Q25" s="5"/>
    </row>
    <row r="26" spans="1:17" ht="60" customHeight="1" x14ac:dyDescent="0.25">
      <c r="A26" s="10"/>
      <c r="B26" s="11"/>
      <c r="C26" s="5"/>
      <c r="D26" s="20"/>
      <c r="E26" s="10"/>
      <c r="F26" s="21"/>
      <c r="G26" s="41"/>
      <c r="H26" s="42"/>
      <c r="I26" s="30"/>
      <c r="J26" s="43"/>
      <c r="K26" s="44"/>
      <c r="L26" s="22"/>
      <c r="M26" s="10"/>
      <c r="N26" s="23"/>
      <c r="O26" s="5"/>
      <c r="P26" s="10"/>
      <c r="Q26" s="11"/>
    </row>
    <row r="27" spans="1:17" ht="60" customHeight="1" x14ac:dyDescent="0.25">
      <c r="A27" s="40">
        <f>P27</f>
        <v>1.5</v>
      </c>
      <c r="B27" s="40"/>
      <c r="C27" s="5"/>
      <c r="D27" s="31"/>
      <c r="E27" s="18"/>
      <c r="F27" s="5"/>
      <c r="G27" s="45"/>
      <c r="H27" s="46"/>
      <c r="I27" s="5"/>
      <c r="J27" s="46"/>
      <c r="K27" s="47"/>
      <c r="L27" s="48" t="s">
        <v>12</v>
      </c>
      <c r="M27" s="49"/>
      <c r="N27" s="50"/>
      <c r="O27" s="12"/>
      <c r="P27" s="40">
        <v>1.5</v>
      </c>
      <c r="Q27" s="40"/>
    </row>
    <row r="28" spans="1:17" ht="60" customHeight="1" x14ac:dyDescent="0.25">
      <c r="A28" s="13"/>
      <c r="B28" s="14"/>
      <c r="C28" s="24"/>
      <c r="D28" s="25"/>
      <c r="E28" s="24"/>
      <c r="F28" s="26"/>
      <c r="G28" s="51"/>
      <c r="H28" s="52"/>
      <c r="I28" s="29"/>
      <c r="J28" s="53"/>
      <c r="K28" s="54"/>
      <c r="L28" s="27"/>
      <c r="M28" s="24"/>
      <c r="N28" s="28"/>
      <c r="O28" s="25"/>
      <c r="P28" s="13"/>
      <c r="Q28" s="14"/>
    </row>
    <row r="29" spans="1:17" x14ac:dyDescent="0.25">
      <c r="C29" s="5"/>
      <c r="D29" s="5"/>
      <c r="E29" s="5"/>
      <c r="F29" s="5"/>
      <c r="G29" s="5"/>
      <c r="H29" s="5"/>
      <c r="I29" s="10"/>
      <c r="J29" s="5"/>
      <c r="K29" s="5"/>
      <c r="L29" s="5"/>
      <c r="M29" s="5"/>
      <c r="N29" s="5"/>
      <c r="O29" s="5"/>
      <c r="P29" s="5"/>
      <c r="Q29" s="5"/>
    </row>
    <row r="30" spans="1:17" x14ac:dyDescent="0.25">
      <c r="C30" s="5"/>
      <c r="D30" s="14"/>
      <c r="E30" s="39">
        <f>A27/2</f>
        <v>0.75</v>
      </c>
      <c r="F30" s="32"/>
      <c r="G30" s="6"/>
      <c r="H30" s="15"/>
      <c r="I30" s="40">
        <v>2.5</v>
      </c>
      <c r="J30" s="15"/>
      <c r="K30" s="7"/>
      <c r="L30" s="14"/>
      <c r="M30" s="39">
        <f>E30</f>
        <v>0.75</v>
      </c>
      <c r="N30" s="32"/>
      <c r="O30" s="5"/>
      <c r="P30" s="5"/>
      <c r="Q30" s="5"/>
    </row>
    <row r="31" spans="1:17" x14ac:dyDescent="0.25">
      <c r="C31" s="5"/>
      <c r="D31" s="33"/>
      <c r="E31" s="40"/>
      <c r="F31" s="34"/>
      <c r="G31" s="8"/>
      <c r="H31" s="16"/>
      <c r="I31" s="40"/>
      <c r="J31" s="16"/>
      <c r="K31" s="9"/>
      <c r="L31" s="33"/>
      <c r="M31" s="40"/>
      <c r="N31" s="34"/>
      <c r="O31" s="5"/>
      <c r="P31" s="5"/>
      <c r="Q31" s="5"/>
    </row>
    <row r="32" spans="1:17" x14ac:dyDescent="0.25"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ht="26.25" x14ac:dyDescent="0.25">
      <c r="A33" s="38" t="s">
        <v>11</v>
      </c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</row>
  </sheetData>
  <mergeCells count="17">
    <mergeCell ref="E30:E31"/>
    <mergeCell ref="I30:I31"/>
    <mergeCell ref="M30:M31"/>
    <mergeCell ref="A33:Q33"/>
    <mergeCell ref="A27:B27"/>
    <mergeCell ref="G27:H27"/>
    <mergeCell ref="J27:K27"/>
    <mergeCell ref="L27:N27"/>
    <mergeCell ref="P27:Q27"/>
    <mergeCell ref="G28:H28"/>
    <mergeCell ref="J28:K28"/>
    <mergeCell ref="A1:D2"/>
    <mergeCell ref="E1:Q2"/>
    <mergeCell ref="A21:Q21"/>
    <mergeCell ref="I23:I24"/>
    <mergeCell ref="G26:H26"/>
    <mergeCell ref="J26:K26"/>
  </mergeCells>
  <pageMargins left="0.7" right="0.47" top="0.73" bottom="0.8" header="0.3" footer="0.3"/>
  <pageSetup paperSize="9" scale="9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EFB9E-DBFB-4A75-8F0F-35E34DCAA3FF}">
  <sheetPr>
    <pageSetUpPr fitToPage="1"/>
  </sheetPr>
  <dimension ref="A1:V33"/>
  <sheetViews>
    <sheetView topLeftCell="A4" workbookViewId="0">
      <selection sqref="A1:Q33"/>
    </sheetView>
  </sheetViews>
  <sheetFormatPr defaultColWidth="5.7109375" defaultRowHeight="15" x14ac:dyDescent="0.25"/>
  <cols>
    <col min="1" max="16384" width="5.7109375" style="1"/>
  </cols>
  <sheetData>
    <row r="1" spans="1:22" ht="34.5" customHeight="1" x14ac:dyDescent="0.25">
      <c r="A1" s="35" t="s">
        <v>2</v>
      </c>
      <c r="B1" s="35"/>
      <c r="C1" s="35"/>
      <c r="D1" s="35"/>
      <c r="E1" s="36" t="s">
        <v>13</v>
      </c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 spans="1:22" ht="34.5" customHeight="1" x14ac:dyDescent="0.25">
      <c r="A2" s="35"/>
      <c r="B2" s="35"/>
      <c r="C2" s="35"/>
      <c r="D2" s="35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</row>
    <row r="3" spans="1:22" x14ac:dyDescent="0.25"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S3" s="1" t="s">
        <v>5</v>
      </c>
      <c r="T3" s="1" t="s">
        <v>6</v>
      </c>
      <c r="U3" s="1" t="s">
        <v>7</v>
      </c>
      <c r="V3" s="1" t="s">
        <v>8</v>
      </c>
    </row>
    <row r="4" spans="1:22" x14ac:dyDescent="0.25">
      <c r="S4" s="2">
        <v>0</v>
      </c>
      <c r="T4" s="3">
        <v>1.5</v>
      </c>
      <c r="U4" s="3">
        <v>0</v>
      </c>
      <c r="V4" s="3">
        <v>0.86</v>
      </c>
    </row>
    <row r="5" spans="1:22" x14ac:dyDescent="0.25">
      <c r="C5" s="2"/>
      <c r="D5" s="3"/>
      <c r="E5" s="3"/>
      <c r="F5" s="3"/>
      <c r="S5" s="2">
        <v>100</v>
      </c>
      <c r="T5" s="3">
        <f t="shared" ref="T5:T10" si="0">T4</f>
        <v>1.5</v>
      </c>
      <c r="U5" s="3">
        <v>0</v>
      </c>
      <c r="V5" s="3">
        <v>0.92</v>
      </c>
    </row>
    <row r="6" spans="1:22" x14ac:dyDescent="0.25">
      <c r="C6" s="2"/>
      <c r="D6" s="3"/>
      <c r="E6" s="3"/>
      <c r="F6" s="3"/>
      <c r="S6" s="2">
        <v>200</v>
      </c>
      <c r="T6" s="3">
        <f t="shared" si="0"/>
        <v>1.5</v>
      </c>
      <c r="U6" s="3">
        <v>0</v>
      </c>
      <c r="V6" s="3">
        <v>0.8</v>
      </c>
    </row>
    <row r="7" spans="1:22" x14ac:dyDescent="0.25">
      <c r="C7" s="2"/>
      <c r="D7" s="3"/>
      <c r="E7" s="3"/>
      <c r="F7" s="3"/>
      <c r="S7" s="2">
        <v>300</v>
      </c>
      <c r="T7" s="3">
        <f t="shared" si="0"/>
        <v>1.5</v>
      </c>
      <c r="U7" s="3">
        <v>0</v>
      </c>
      <c r="V7" s="3">
        <v>0.8</v>
      </c>
    </row>
    <row r="8" spans="1:22" x14ac:dyDescent="0.25">
      <c r="C8" s="2"/>
      <c r="D8" s="3"/>
      <c r="E8" s="3"/>
      <c r="F8" s="3"/>
      <c r="S8" s="2">
        <v>400</v>
      </c>
      <c r="T8" s="3">
        <f t="shared" si="0"/>
        <v>1.5</v>
      </c>
      <c r="U8" s="3">
        <v>0</v>
      </c>
      <c r="V8" s="3">
        <v>0.95</v>
      </c>
    </row>
    <row r="9" spans="1:22" hidden="1" x14ac:dyDescent="0.25">
      <c r="C9" s="2"/>
      <c r="D9" s="3"/>
      <c r="E9" s="3"/>
      <c r="F9" s="3"/>
      <c r="S9" s="2">
        <v>220</v>
      </c>
      <c r="T9" s="3">
        <f t="shared" si="0"/>
        <v>1.5</v>
      </c>
      <c r="U9" s="3">
        <v>0</v>
      </c>
      <c r="V9" s="3">
        <v>1.42</v>
      </c>
    </row>
    <row r="10" spans="1:22" hidden="1" x14ac:dyDescent="0.25">
      <c r="C10" s="2"/>
      <c r="D10" s="3"/>
      <c r="E10" s="3"/>
      <c r="F10" s="3"/>
      <c r="S10" s="2">
        <v>1200</v>
      </c>
      <c r="T10" s="3">
        <f t="shared" si="0"/>
        <v>1.5</v>
      </c>
      <c r="U10" s="3">
        <v>0</v>
      </c>
      <c r="V10" s="3">
        <v>1.37</v>
      </c>
    </row>
    <row r="11" spans="1:22" x14ac:dyDescent="0.25">
      <c r="C11" s="2"/>
      <c r="D11" s="3"/>
      <c r="E11" s="3"/>
      <c r="F11" s="3"/>
    </row>
    <row r="16" spans="1:22" x14ac:dyDescent="0.25">
      <c r="D16" s="4"/>
      <c r="E16" s="4"/>
      <c r="F16" s="4"/>
      <c r="G16" s="4"/>
      <c r="H16" s="4"/>
      <c r="I16" s="4"/>
    </row>
    <row r="17" spans="1:17" x14ac:dyDescent="0.25">
      <c r="F17" s="3"/>
      <c r="G17" s="3"/>
    </row>
    <row r="18" spans="1:17" x14ac:dyDescent="0.25">
      <c r="F18" s="3"/>
      <c r="G18" s="3"/>
    </row>
    <row r="19" spans="1:17" x14ac:dyDescent="0.25">
      <c r="F19" s="3"/>
      <c r="G19" s="3"/>
    </row>
    <row r="20" spans="1:17" x14ac:dyDescent="0.25">
      <c r="F20" s="3"/>
      <c r="G20" s="3"/>
    </row>
    <row r="21" spans="1:17" ht="26.25" x14ac:dyDescent="0.25">
      <c r="A21" s="38" t="s">
        <v>9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</row>
    <row r="22" spans="1:17" x14ac:dyDescent="0.25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1:17" x14ac:dyDescent="0.25">
      <c r="C23" s="5"/>
      <c r="D23" s="6"/>
      <c r="E23" s="15"/>
      <c r="F23" s="13"/>
      <c r="G23" s="13"/>
      <c r="H23" s="15"/>
      <c r="I23" s="39">
        <f>E30+I30+M30</f>
        <v>4</v>
      </c>
      <c r="J23" s="15"/>
      <c r="K23" s="13"/>
      <c r="L23" s="13"/>
      <c r="M23" s="15"/>
      <c r="N23" s="7"/>
      <c r="O23" s="5"/>
      <c r="P23" s="5"/>
      <c r="Q23" s="5"/>
    </row>
    <row r="24" spans="1:17" x14ac:dyDescent="0.25">
      <c r="C24" s="5"/>
      <c r="D24" s="11"/>
      <c r="E24" s="16"/>
      <c r="F24" s="10"/>
      <c r="G24" s="10"/>
      <c r="H24" s="16"/>
      <c r="I24" s="40"/>
      <c r="J24" s="16"/>
      <c r="K24" s="10"/>
      <c r="L24" s="10"/>
      <c r="M24" s="16"/>
      <c r="N24" s="19"/>
      <c r="O24" s="5"/>
      <c r="P24" s="5"/>
      <c r="Q24" s="5"/>
    </row>
    <row r="25" spans="1:17" x14ac:dyDescent="0.25">
      <c r="C25" s="24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24"/>
      <c r="P25" s="5"/>
      <c r="Q25" s="5"/>
    </row>
    <row r="26" spans="1:17" ht="60" customHeight="1" x14ac:dyDescent="0.25">
      <c r="A26" s="10"/>
      <c r="B26" s="11"/>
      <c r="C26" s="5"/>
      <c r="D26" s="20"/>
      <c r="E26" s="10"/>
      <c r="F26" s="21"/>
      <c r="G26" s="41"/>
      <c r="H26" s="42"/>
      <c r="I26" s="30"/>
      <c r="J26" s="43"/>
      <c r="K26" s="44"/>
      <c r="L26" s="22"/>
      <c r="M26" s="10"/>
      <c r="N26" s="23"/>
      <c r="O26" s="5"/>
      <c r="P26" s="10"/>
      <c r="Q26" s="11"/>
    </row>
    <row r="27" spans="1:17" ht="60" customHeight="1" x14ac:dyDescent="0.25">
      <c r="A27" s="40">
        <f>P27</f>
        <v>1.5</v>
      </c>
      <c r="B27" s="40"/>
      <c r="C27" s="5"/>
      <c r="D27" s="31"/>
      <c r="E27" s="18"/>
      <c r="F27" s="5"/>
      <c r="G27" s="45"/>
      <c r="H27" s="46"/>
      <c r="I27" s="5"/>
      <c r="J27" s="46"/>
      <c r="K27" s="47"/>
      <c r="L27" s="48" t="s">
        <v>12</v>
      </c>
      <c r="M27" s="49"/>
      <c r="N27" s="50"/>
      <c r="O27" s="12"/>
      <c r="P27" s="40">
        <f>T4</f>
        <v>1.5</v>
      </c>
      <c r="Q27" s="40"/>
    </row>
    <row r="28" spans="1:17" ht="60" customHeight="1" x14ac:dyDescent="0.25">
      <c r="A28" s="13"/>
      <c r="B28" s="14"/>
      <c r="C28" s="24"/>
      <c r="D28" s="25"/>
      <c r="E28" s="24"/>
      <c r="F28" s="26"/>
      <c r="G28" s="51"/>
      <c r="H28" s="52"/>
      <c r="I28" s="29"/>
      <c r="J28" s="53"/>
      <c r="K28" s="54"/>
      <c r="L28" s="27"/>
      <c r="M28" s="24"/>
      <c r="N28" s="28"/>
      <c r="O28" s="25"/>
      <c r="P28" s="13"/>
      <c r="Q28" s="14"/>
    </row>
    <row r="29" spans="1:17" x14ac:dyDescent="0.25">
      <c r="C29" s="5"/>
      <c r="D29" s="5"/>
      <c r="E29" s="5"/>
      <c r="F29" s="5"/>
      <c r="G29" s="5"/>
      <c r="H29" s="5"/>
      <c r="I29" s="10"/>
      <c r="J29" s="5"/>
      <c r="K29" s="5"/>
      <c r="L29" s="5"/>
      <c r="M29" s="5"/>
      <c r="N29" s="5"/>
      <c r="O29" s="5"/>
      <c r="P29" s="5"/>
      <c r="Q29" s="5"/>
    </row>
    <row r="30" spans="1:17" x14ac:dyDescent="0.25">
      <c r="C30" s="5"/>
      <c r="D30" s="14"/>
      <c r="E30" s="39">
        <f>A27/2</f>
        <v>0.75</v>
      </c>
      <c r="F30" s="32"/>
      <c r="G30" s="6"/>
      <c r="H30" s="15"/>
      <c r="I30" s="40">
        <v>2.5</v>
      </c>
      <c r="J30" s="15"/>
      <c r="K30" s="7"/>
      <c r="L30" s="14"/>
      <c r="M30" s="39">
        <f>E30</f>
        <v>0.75</v>
      </c>
      <c r="N30" s="32"/>
      <c r="O30" s="5"/>
      <c r="P30" s="5"/>
      <c r="Q30" s="5"/>
    </row>
    <row r="31" spans="1:17" x14ac:dyDescent="0.25">
      <c r="C31" s="5"/>
      <c r="D31" s="33"/>
      <c r="E31" s="40"/>
      <c r="F31" s="34"/>
      <c r="G31" s="8"/>
      <c r="H31" s="16"/>
      <c r="I31" s="40"/>
      <c r="J31" s="16"/>
      <c r="K31" s="9"/>
      <c r="L31" s="33"/>
      <c r="M31" s="40"/>
      <c r="N31" s="34"/>
      <c r="O31" s="5"/>
      <c r="P31" s="5"/>
      <c r="Q31" s="5"/>
    </row>
    <row r="32" spans="1:17" x14ac:dyDescent="0.25"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ht="26.25" x14ac:dyDescent="0.25">
      <c r="A33" s="38" t="s">
        <v>11</v>
      </c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</row>
  </sheetData>
  <mergeCells count="17">
    <mergeCell ref="A21:Q21"/>
    <mergeCell ref="E1:Q2"/>
    <mergeCell ref="A1:D2"/>
    <mergeCell ref="I23:I24"/>
    <mergeCell ref="G26:H26"/>
    <mergeCell ref="J26:K26"/>
    <mergeCell ref="A27:B27"/>
    <mergeCell ref="G27:H27"/>
    <mergeCell ref="J27:K27"/>
    <mergeCell ref="A33:Q33"/>
    <mergeCell ref="L27:N27"/>
    <mergeCell ref="P27:Q27"/>
    <mergeCell ref="G28:H28"/>
    <mergeCell ref="J28:K28"/>
    <mergeCell ref="E30:E31"/>
    <mergeCell ref="I30:I31"/>
    <mergeCell ref="M30:M31"/>
  </mergeCells>
  <pageMargins left="0.7" right="0.47" top="0.73" bottom="0.8" header="0.3" footer="0.3"/>
  <pageSetup paperSize="9" scale="9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34"/>
  <sheetViews>
    <sheetView topLeftCell="A4" workbookViewId="0">
      <selection activeCell="AK10" sqref="AK10"/>
    </sheetView>
  </sheetViews>
  <sheetFormatPr defaultColWidth="5.7109375" defaultRowHeight="15" x14ac:dyDescent="0.25"/>
  <cols>
    <col min="1" max="3" width="3.28515625" style="1" customWidth="1"/>
    <col min="4" max="14" width="5.7109375" style="1" customWidth="1"/>
    <col min="15" max="17" width="3.28515625" style="1" customWidth="1"/>
    <col min="18" max="16384" width="5.7109375" style="1"/>
  </cols>
  <sheetData>
    <row r="1" spans="1:22" x14ac:dyDescent="0.25">
      <c r="A1" s="55" t="s">
        <v>0</v>
      </c>
      <c r="B1" s="55"/>
      <c r="C1" s="55"/>
      <c r="D1" s="55"/>
      <c r="E1" s="56" t="s">
        <v>1</v>
      </c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</row>
    <row r="2" spans="1:22" x14ac:dyDescent="0.25">
      <c r="A2" s="55" t="s">
        <v>2</v>
      </c>
      <c r="B2" s="55"/>
      <c r="C2" s="55"/>
      <c r="D2" s="55"/>
      <c r="E2" s="57" t="s">
        <v>3</v>
      </c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</row>
    <row r="3" spans="1:22" x14ac:dyDescent="0.25">
      <c r="E3" s="57" t="s">
        <v>4</v>
      </c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</row>
    <row r="4" spans="1:22" x14ac:dyDescent="0.25"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S4" s="1" t="s">
        <v>5</v>
      </c>
      <c r="T4" s="1" t="s">
        <v>6</v>
      </c>
      <c r="U4" s="1" t="s">
        <v>7</v>
      </c>
      <c r="V4" s="1" t="s">
        <v>8</v>
      </c>
    </row>
    <row r="5" spans="1:22" x14ac:dyDescent="0.25">
      <c r="S5" s="2">
        <v>0</v>
      </c>
      <c r="T5" s="3">
        <v>2.5</v>
      </c>
      <c r="U5" s="3">
        <v>0</v>
      </c>
      <c r="V5" s="3">
        <v>1.34</v>
      </c>
    </row>
    <row r="6" spans="1:22" x14ac:dyDescent="0.25">
      <c r="C6" s="2"/>
      <c r="D6" s="3"/>
      <c r="E6" s="3"/>
      <c r="F6" s="3"/>
      <c r="S6" s="2">
        <v>50</v>
      </c>
      <c r="T6" s="3">
        <f t="shared" ref="T6:T11" si="0">T5</f>
        <v>2.5</v>
      </c>
      <c r="U6" s="3">
        <v>0</v>
      </c>
      <c r="V6" s="3">
        <v>1.4</v>
      </c>
    </row>
    <row r="7" spans="1:22" x14ac:dyDescent="0.25">
      <c r="C7" s="2"/>
      <c r="D7" s="3"/>
      <c r="E7" s="3"/>
      <c r="F7" s="3"/>
      <c r="S7" s="2">
        <v>100</v>
      </c>
      <c r="T7" s="3">
        <f t="shared" si="0"/>
        <v>2.5</v>
      </c>
      <c r="U7" s="3">
        <v>0</v>
      </c>
      <c r="V7" s="3">
        <v>1.38</v>
      </c>
    </row>
    <row r="8" spans="1:22" x14ac:dyDescent="0.25">
      <c r="C8" s="2"/>
      <c r="D8" s="3"/>
      <c r="E8" s="3"/>
      <c r="F8" s="3"/>
      <c r="S8" s="2">
        <v>150</v>
      </c>
      <c r="T8" s="3">
        <f t="shared" si="0"/>
        <v>2.5</v>
      </c>
      <c r="U8" s="3">
        <v>0</v>
      </c>
      <c r="V8" s="3">
        <v>1.35</v>
      </c>
    </row>
    <row r="9" spans="1:22" x14ac:dyDescent="0.25">
      <c r="C9" s="2"/>
      <c r="D9" s="3"/>
      <c r="E9" s="3"/>
      <c r="F9" s="3"/>
      <c r="S9" s="2">
        <v>200</v>
      </c>
      <c r="T9" s="3">
        <f t="shared" si="0"/>
        <v>2.5</v>
      </c>
      <c r="U9" s="3">
        <v>0</v>
      </c>
      <c r="V9" s="3">
        <v>1.35</v>
      </c>
    </row>
    <row r="10" spans="1:22" x14ac:dyDescent="0.25">
      <c r="C10" s="2"/>
      <c r="D10" s="3"/>
      <c r="E10" s="3"/>
      <c r="F10" s="3"/>
      <c r="S10" s="2">
        <v>220</v>
      </c>
      <c r="T10" s="3">
        <f t="shared" si="0"/>
        <v>2.5</v>
      </c>
      <c r="U10" s="3">
        <v>0</v>
      </c>
      <c r="V10" s="3">
        <v>1.42</v>
      </c>
    </row>
    <row r="11" spans="1:22" hidden="1" x14ac:dyDescent="0.25">
      <c r="C11" s="2"/>
      <c r="D11" s="3"/>
      <c r="E11" s="3"/>
      <c r="F11" s="3"/>
      <c r="S11" s="2">
        <v>1200</v>
      </c>
      <c r="T11" s="3">
        <f t="shared" si="0"/>
        <v>2.5</v>
      </c>
      <c r="U11" s="3">
        <v>0</v>
      </c>
      <c r="V11" s="3">
        <v>1.37</v>
      </c>
    </row>
    <row r="12" spans="1:22" x14ac:dyDescent="0.25">
      <c r="C12" s="2"/>
      <c r="D12" s="3"/>
      <c r="E12" s="3"/>
      <c r="F12" s="3"/>
    </row>
    <row r="17" spans="1:17" x14ac:dyDescent="0.25">
      <c r="D17" s="4"/>
      <c r="E17" s="4"/>
      <c r="F17" s="4"/>
      <c r="G17" s="4"/>
      <c r="H17" s="4"/>
      <c r="I17" s="4"/>
    </row>
    <row r="18" spans="1:17" x14ac:dyDescent="0.25">
      <c r="F18" s="3"/>
      <c r="G18" s="3"/>
    </row>
    <row r="19" spans="1:17" x14ac:dyDescent="0.25">
      <c r="F19" s="3"/>
      <c r="G19" s="3"/>
    </row>
    <row r="20" spans="1:17" x14ac:dyDescent="0.25">
      <c r="F20" s="3"/>
      <c r="G20" s="3"/>
    </row>
    <row r="21" spans="1:17" x14ac:dyDescent="0.25">
      <c r="F21" s="3"/>
      <c r="G21" s="3"/>
    </row>
    <row r="22" spans="1:17" ht="26.25" x14ac:dyDescent="0.25">
      <c r="A22" s="38" t="s">
        <v>9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</row>
    <row r="23" spans="1:17" x14ac:dyDescent="0.25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 x14ac:dyDescent="0.25">
      <c r="C24" s="5"/>
      <c r="D24" s="6"/>
      <c r="E24" s="15"/>
      <c r="F24" s="13"/>
      <c r="G24" s="13"/>
      <c r="H24" s="15"/>
      <c r="I24" s="39">
        <f>E31+I31+M31</f>
        <v>9</v>
      </c>
      <c r="J24" s="15"/>
      <c r="K24" s="13"/>
      <c r="L24" s="13"/>
      <c r="M24" s="15"/>
      <c r="N24" s="7"/>
      <c r="O24" s="5"/>
      <c r="P24" s="5"/>
      <c r="Q24" s="5"/>
    </row>
    <row r="25" spans="1:17" x14ac:dyDescent="0.25">
      <c r="C25" s="5"/>
      <c r="D25" s="11"/>
      <c r="E25" s="16"/>
      <c r="F25" s="10"/>
      <c r="G25" s="10"/>
      <c r="H25" s="16"/>
      <c r="I25" s="40"/>
      <c r="J25" s="16"/>
      <c r="K25" s="10"/>
      <c r="L25" s="10"/>
      <c r="M25" s="16"/>
      <c r="N25" s="19"/>
      <c r="O25" s="5"/>
      <c r="P25" s="5"/>
      <c r="Q25" s="5"/>
    </row>
    <row r="26" spans="1:17" x14ac:dyDescent="0.25">
      <c r="C26" s="24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24"/>
      <c r="P26" s="5"/>
      <c r="Q26" s="5"/>
    </row>
    <row r="27" spans="1:17" ht="30" customHeight="1" x14ac:dyDescent="0.25">
      <c r="A27" s="10"/>
      <c r="B27" s="11"/>
      <c r="C27" s="5"/>
      <c r="D27" s="20"/>
      <c r="E27" s="10"/>
      <c r="F27" s="21"/>
      <c r="G27" s="41"/>
      <c r="H27" s="42"/>
      <c r="I27" s="30"/>
      <c r="J27" s="43"/>
      <c r="K27" s="44"/>
      <c r="L27" s="22"/>
      <c r="M27" s="10"/>
      <c r="N27" s="23"/>
      <c r="O27" s="5"/>
      <c r="P27" s="10"/>
      <c r="Q27" s="11"/>
    </row>
    <row r="28" spans="1:17" ht="30" customHeight="1" x14ac:dyDescent="0.25">
      <c r="A28" s="40">
        <v>2.5</v>
      </c>
      <c r="B28" s="40"/>
      <c r="C28" s="5"/>
      <c r="D28" s="31"/>
      <c r="E28" s="18"/>
      <c r="F28" s="5"/>
      <c r="G28" s="45"/>
      <c r="H28" s="46"/>
      <c r="I28" s="5"/>
      <c r="J28" s="46"/>
      <c r="K28" s="47"/>
      <c r="L28" s="48" t="s">
        <v>10</v>
      </c>
      <c r="M28" s="49"/>
      <c r="N28" s="50"/>
      <c r="O28" s="12"/>
      <c r="P28" s="40">
        <v>2.5</v>
      </c>
      <c r="Q28" s="40"/>
    </row>
    <row r="29" spans="1:17" ht="30" customHeight="1" x14ac:dyDescent="0.25">
      <c r="A29" s="13"/>
      <c r="B29" s="14"/>
      <c r="C29" s="24"/>
      <c r="D29" s="25"/>
      <c r="E29" s="24"/>
      <c r="F29" s="26"/>
      <c r="G29" s="51"/>
      <c r="H29" s="52"/>
      <c r="I29" s="29"/>
      <c r="J29" s="53"/>
      <c r="K29" s="54"/>
      <c r="L29" s="27"/>
      <c r="M29" s="24"/>
      <c r="N29" s="28"/>
      <c r="O29" s="25"/>
      <c r="P29" s="13"/>
      <c r="Q29" s="14"/>
    </row>
    <row r="30" spans="1:17" x14ac:dyDescent="0.25">
      <c r="C30" s="5"/>
      <c r="D30" s="5"/>
      <c r="E30" s="5"/>
      <c r="F30" s="5"/>
      <c r="G30" s="5"/>
      <c r="H30" s="5"/>
      <c r="I30" s="10"/>
      <c r="J30" s="5"/>
      <c r="K30" s="5"/>
      <c r="L30" s="5"/>
      <c r="M30" s="5"/>
      <c r="N30" s="5"/>
      <c r="O30" s="5"/>
      <c r="P30" s="5"/>
      <c r="Q30" s="5"/>
    </row>
    <row r="31" spans="1:17" x14ac:dyDescent="0.25">
      <c r="C31" s="5"/>
      <c r="D31" s="14"/>
      <c r="E31" s="39">
        <f>A28</f>
        <v>2.5</v>
      </c>
      <c r="F31" s="32"/>
      <c r="G31" s="6"/>
      <c r="H31" s="15"/>
      <c r="I31" s="40">
        <v>4</v>
      </c>
      <c r="J31" s="15"/>
      <c r="K31" s="7"/>
      <c r="L31" s="14"/>
      <c r="M31" s="39">
        <f>P28</f>
        <v>2.5</v>
      </c>
      <c r="N31" s="32"/>
      <c r="O31" s="5"/>
      <c r="P31" s="5"/>
      <c r="Q31" s="5"/>
    </row>
    <row r="32" spans="1:17" x14ac:dyDescent="0.25">
      <c r="C32" s="5"/>
      <c r="D32" s="33"/>
      <c r="E32" s="40"/>
      <c r="F32" s="34"/>
      <c r="G32" s="8"/>
      <c r="H32" s="16"/>
      <c r="I32" s="40"/>
      <c r="J32" s="16"/>
      <c r="K32" s="9"/>
      <c r="L32" s="33"/>
      <c r="M32" s="40"/>
      <c r="N32" s="34"/>
      <c r="O32" s="5"/>
      <c r="P32" s="5"/>
      <c r="Q32" s="5"/>
    </row>
    <row r="33" spans="1:17" x14ac:dyDescent="0.25"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ht="26.25" x14ac:dyDescent="0.25">
      <c r="A34" s="38" t="s">
        <v>11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</row>
  </sheetData>
  <mergeCells count="20">
    <mergeCell ref="A1:D1"/>
    <mergeCell ref="A2:D2"/>
    <mergeCell ref="E1:Q1"/>
    <mergeCell ref="E2:Q2"/>
    <mergeCell ref="E3:Q3"/>
    <mergeCell ref="A34:Q34"/>
    <mergeCell ref="A22:Q22"/>
    <mergeCell ref="I24:I25"/>
    <mergeCell ref="I31:I32"/>
    <mergeCell ref="G29:H29"/>
    <mergeCell ref="J29:K29"/>
    <mergeCell ref="P28:Q28"/>
    <mergeCell ref="G27:H27"/>
    <mergeCell ref="J27:K27"/>
    <mergeCell ref="G28:H28"/>
    <mergeCell ref="J28:K28"/>
    <mergeCell ref="L28:N28"/>
    <mergeCell ref="A28:B28"/>
    <mergeCell ref="E31:E32"/>
    <mergeCell ref="M31:M32"/>
  </mergeCells>
  <pageMargins left="0.7" right="0.47" top="0.73" bottom="0.8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Sheet1 (3)</vt:lpstr>
      <vt:lpstr>Sheet1 (2)</vt:lpstr>
      <vt:lpstr>Sheet1</vt:lpstr>
      <vt:lpstr>Sheet2</vt:lpstr>
      <vt:lpstr>Sheet3</vt:lpstr>
      <vt:lpstr>Sheet1!Print_Area</vt:lpstr>
      <vt:lpstr>'Sheet1 (2)'!Print_Area</vt:lpstr>
      <vt:lpstr>'Sheet1 (3)'!Print_Area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 ASREY</dc:creator>
  <cp:keywords/>
  <dc:description/>
  <cp:lastModifiedBy>Prashant Jaiswar</cp:lastModifiedBy>
  <cp:revision/>
  <cp:lastPrinted>2026-04-28T02:59:12Z</cp:lastPrinted>
  <dcterms:created xsi:type="dcterms:W3CDTF">2023-11-09T02:39:12Z</dcterms:created>
  <dcterms:modified xsi:type="dcterms:W3CDTF">2026-05-06T03:44:47Z</dcterms:modified>
  <cp:category/>
  <cp:contentStatus/>
</cp:coreProperties>
</file>