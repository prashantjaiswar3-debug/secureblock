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sh\OneDrive\Desktop\Estimates\"/>
    </mc:Choice>
  </mc:AlternateContent>
  <xr:revisionPtr revIDLastSave="0" documentId="13_ncr:1_{9598BB76-0705-4C20-A805-95B02D7A8F6A}" xr6:coauthVersionLast="47" xr6:coauthVersionMax="47" xr10:uidLastSave="{00000000-0000-0000-0000-000000000000}"/>
  <bookViews>
    <workbookView xWindow="-120" yWindow="-120" windowWidth="29040" windowHeight="15720" xr2:uid="{5892F300-12B6-42D5-AAF3-450D427F2998}"/>
  </bookViews>
  <sheets>
    <sheet name="Sheet1 (16)" sheetId="17" r:id="rId1"/>
    <sheet name="Sheet1 (15)" sheetId="16" r:id="rId2"/>
    <sheet name="Sheet1 (14)" sheetId="15" r:id="rId3"/>
    <sheet name="Sheet1 (13)" sheetId="14" r:id="rId4"/>
    <sheet name="Sheet1 (12)" sheetId="13" r:id="rId5"/>
    <sheet name="Sheet1 (11)" sheetId="12" r:id="rId6"/>
    <sheet name="Sheet1 (10)" sheetId="11" r:id="rId7"/>
    <sheet name="Sheet1 (9)" sheetId="10" r:id="rId8"/>
    <sheet name="Sheet1 (8)" sheetId="9" r:id="rId9"/>
    <sheet name="Sheet1 (7)" sheetId="8" r:id="rId10"/>
    <sheet name="Sheet1 (6)" sheetId="7" r:id="rId11"/>
    <sheet name="Sheet1 (5)" sheetId="6" r:id="rId12"/>
    <sheet name="Sheet1 (4)" sheetId="5" r:id="rId13"/>
    <sheet name="Sheet1 (3)" sheetId="4" r:id="rId14"/>
    <sheet name="Sheet1 (2)" sheetId="3" r:id="rId15"/>
    <sheet name="Sheet1" sheetId="1" r:id="rId16"/>
  </sheets>
  <definedNames>
    <definedName name="_xlnm.Print_Area" localSheetId="6">'Sheet1 (10)'!$A$1:$AU$47</definedName>
    <definedName name="_xlnm.Print_Area" localSheetId="4">'Sheet1 (12)'!$A$1:$AU$49</definedName>
    <definedName name="_xlnm.Print_Area" localSheetId="3">'Sheet1 (13)'!$A$1:$AU$46</definedName>
    <definedName name="_xlnm.Print_Area" localSheetId="1">'Sheet1 (15)'!$A$1:$AO$43</definedName>
    <definedName name="_xlnm.Print_Area" localSheetId="0">'Sheet1 (16)'!$A$1:$AN$39</definedName>
    <definedName name="_xlnm.Print_Area" localSheetId="9">'Sheet1 (7)'!$A$1:$AX$48</definedName>
    <definedName name="_xlnm.Print_Area" localSheetId="8">'Sheet1 (8)'!$A$1:$AP$47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3" i="17" l="1"/>
  <c r="P13" i="17"/>
  <c r="P8" i="17"/>
  <c r="K8" i="17"/>
  <c r="F8" i="17"/>
  <c r="F13" i="17"/>
  <c r="F18" i="17"/>
  <c r="K18" i="17"/>
  <c r="AE9" i="17" s="1"/>
  <c r="AJ9" i="17" s="1"/>
  <c r="P18" i="17"/>
  <c r="U18" i="17"/>
  <c r="U13" i="17"/>
  <c r="U8" i="17"/>
  <c r="U5" i="17"/>
  <c r="P5" i="17"/>
  <c r="K5" i="17"/>
  <c r="F5" i="17"/>
  <c r="AE5" i="17"/>
  <c r="AJ5" i="17" s="1"/>
  <c r="AE3" i="17"/>
  <c r="S33" i="17"/>
  <c r="S25" i="17"/>
  <c r="AJ3" i="17"/>
  <c r="A12" i="17"/>
  <c r="O1" i="17"/>
  <c r="J10" i="16"/>
  <c r="J15" i="16"/>
  <c r="J20" i="16"/>
  <c r="O20" i="16"/>
  <c r="T20" i="16"/>
  <c r="T15" i="16"/>
  <c r="T10" i="16"/>
  <c r="T5" i="16"/>
  <c r="O5" i="16"/>
  <c r="J5" i="16"/>
  <c r="T27" i="16"/>
  <c r="T37" i="16" s="1"/>
  <c r="E14" i="16"/>
  <c r="P1" i="16"/>
  <c r="AE7" i="17" l="1"/>
  <c r="AJ7" i="17" s="1"/>
  <c r="O15" i="16"/>
  <c r="O10" i="16"/>
  <c r="AF3" i="16"/>
  <c r="AF5" i="16"/>
  <c r="AK5" i="16" s="1"/>
  <c r="AF7" i="16"/>
  <c r="AK7" i="16" s="1"/>
  <c r="AK3" i="16"/>
  <c r="AA15" i="15"/>
  <c r="AX10" i="15"/>
  <c r="AS10" i="15"/>
  <c r="AN10" i="15"/>
  <c r="AI10" i="15"/>
  <c r="AD10" i="15"/>
  <c r="Y10" i="15"/>
  <c r="T10" i="15"/>
  <c r="O10" i="15"/>
  <c r="J10" i="15"/>
  <c r="E10" i="15"/>
  <c r="AX5" i="15"/>
  <c r="AS5" i="15"/>
  <c r="AN5" i="15"/>
  <c r="AI5" i="15"/>
  <c r="AD5" i="15"/>
  <c r="Y5" i="15"/>
  <c r="T5" i="15"/>
  <c r="O5" i="15"/>
  <c r="J5" i="15"/>
  <c r="E5" i="15"/>
  <c r="BJ8" i="15"/>
  <c r="BO8" i="15" s="1"/>
  <c r="BJ6" i="15"/>
  <c r="BO6" i="15" s="1"/>
  <c r="AA25" i="15"/>
  <c r="A9" i="15"/>
  <c r="AB1" i="15"/>
  <c r="J8" i="14"/>
  <c r="J13" i="14"/>
  <c r="J18" i="14"/>
  <c r="J23" i="14"/>
  <c r="O23" i="14"/>
  <c r="T23" i="14"/>
  <c r="Y23" i="14"/>
  <c r="Y18" i="14"/>
  <c r="Y13" i="14"/>
  <c r="Y8" i="14"/>
  <c r="Y5" i="14"/>
  <c r="T5" i="14"/>
  <c r="O5" i="14"/>
  <c r="J5" i="14"/>
  <c r="AL3" i="14" s="1"/>
  <c r="AQ3" i="14" s="1"/>
  <c r="T18" i="14"/>
  <c r="O18" i="14"/>
  <c r="T8" i="14"/>
  <c r="O8" i="14"/>
  <c r="E17" i="14"/>
  <c r="T1" i="14"/>
  <c r="Y30" i="14" s="1"/>
  <c r="Y39" i="14" s="1"/>
  <c r="J5" i="11"/>
  <c r="O5" i="11"/>
  <c r="T5" i="11"/>
  <c r="T8" i="11" s="1"/>
  <c r="Y5" i="11"/>
  <c r="Y8" i="11"/>
  <c r="Y13" i="11"/>
  <c r="Y18" i="11"/>
  <c r="Y23" i="11"/>
  <c r="T23" i="11"/>
  <c r="O23" i="11"/>
  <c r="J23" i="11"/>
  <c r="J18" i="11"/>
  <c r="J13" i="11"/>
  <c r="J8" i="11"/>
  <c r="T18" i="11"/>
  <c r="AL5" i="13"/>
  <c r="AL3" i="13"/>
  <c r="T10" i="13"/>
  <c r="T20" i="13"/>
  <c r="O20" i="13"/>
  <c r="O10" i="13"/>
  <c r="J10" i="13"/>
  <c r="J15" i="13"/>
  <c r="J20" i="13"/>
  <c r="J25" i="13"/>
  <c r="O25" i="13"/>
  <c r="T25" i="13"/>
  <c r="Y25" i="13"/>
  <c r="Y20" i="13"/>
  <c r="Y15" i="13"/>
  <c r="Y10" i="13"/>
  <c r="Y5" i="13"/>
  <c r="T5" i="13"/>
  <c r="O5" i="13"/>
  <c r="J5" i="13"/>
  <c r="E19" i="13"/>
  <c r="T1" i="13"/>
  <c r="W32" i="13" s="1"/>
  <c r="W42" i="13" s="1"/>
  <c r="V37" i="12"/>
  <c r="V27" i="12"/>
  <c r="O10" i="12"/>
  <c r="O15" i="12"/>
  <c r="T15" i="12"/>
  <c r="T10" i="12"/>
  <c r="J10" i="12"/>
  <c r="J15" i="12"/>
  <c r="J20" i="12"/>
  <c r="O20" i="12"/>
  <c r="AK7" i="12" s="1"/>
  <c r="AP7" i="12" s="1"/>
  <c r="T20" i="12"/>
  <c r="Y20" i="12"/>
  <c r="Y15" i="12"/>
  <c r="Y10" i="12"/>
  <c r="Y5" i="12"/>
  <c r="T5" i="12"/>
  <c r="O5" i="12"/>
  <c r="J5" i="12"/>
  <c r="AK3" i="12"/>
  <c r="E14" i="12"/>
  <c r="S1" i="12"/>
  <c r="Y40" i="11"/>
  <c r="E17" i="11"/>
  <c r="T1" i="11"/>
  <c r="Y30" i="11" s="1"/>
  <c r="BG10" i="10"/>
  <c r="X10" i="10"/>
  <c r="AC10" i="10"/>
  <c r="AH10" i="10"/>
  <c r="AM10" i="10"/>
  <c r="AR10" i="10"/>
  <c r="AW10" i="10"/>
  <c r="BB10" i="10"/>
  <c r="S10" i="10"/>
  <c r="N10" i="10"/>
  <c r="BB15" i="10"/>
  <c r="AW15" i="10"/>
  <c r="AR15" i="10"/>
  <c r="AM15" i="10"/>
  <c r="AH15" i="10"/>
  <c r="AC15" i="10"/>
  <c r="X15" i="10"/>
  <c r="S15" i="10"/>
  <c r="N15" i="10"/>
  <c r="BG15" i="10"/>
  <c r="I10" i="10"/>
  <c r="I15" i="10"/>
  <c r="BL15" i="10"/>
  <c r="BL10" i="10"/>
  <c r="BL5" i="10"/>
  <c r="BG5" i="10"/>
  <c r="BB5" i="10"/>
  <c r="AW5" i="10"/>
  <c r="AR5" i="10"/>
  <c r="AM5" i="10"/>
  <c r="AH5" i="10"/>
  <c r="AC5" i="10"/>
  <c r="X5" i="10"/>
  <c r="S5" i="10"/>
  <c r="N5" i="10"/>
  <c r="I5" i="10"/>
  <c r="BY3" i="10" s="1"/>
  <c r="D12" i="10"/>
  <c r="AK1" i="10"/>
  <c r="AM23" i="10" s="1"/>
  <c r="AM36" i="10" s="1"/>
  <c r="T19" i="9"/>
  <c r="O19" i="9" s="1"/>
  <c r="T14" i="9"/>
  <c r="T9" i="9"/>
  <c r="AG5" i="9" s="1"/>
  <c r="AL5" i="9" s="1"/>
  <c r="J9" i="9"/>
  <c r="J14" i="9"/>
  <c r="E18" i="9"/>
  <c r="T24" i="9"/>
  <c r="O24" i="9"/>
  <c r="J24" i="9"/>
  <c r="J19" i="9"/>
  <c r="T5" i="9"/>
  <c r="O5" i="9"/>
  <c r="J5" i="9"/>
  <c r="P1" i="9"/>
  <c r="T31" i="9" s="1"/>
  <c r="T41" i="9" s="1"/>
  <c r="J9" i="8"/>
  <c r="J14" i="8"/>
  <c r="J19" i="8"/>
  <c r="J24" i="8"/>
  <c r="O24" i="8"/>
  <c r="T24" i="8"/>
  <c r="Y24" i="8"/>
  <c r="AD24" i="8"/>
  <c r="AD19" i="8"/>
  <c r="AD14" i="8"/>
  <c r="AD9" i="8"/>
  <c r="AD5" i="8"/>
  <c r="Y5" i="8"/>
  <c r="T5" i="8"/>
  <c r="O5" i="8"/>
  <c r="J5" i="8"/>
  <c r="O14" i="8"/>
  <c r="Y14" i="8"/>
  <c r="Y9" i="8"/>
  <c r="T9" i="8"/>
  <c r="AO7" i="8"/>
  <c r="AT7" i="8" s="1"/>
  <c r="AO5" i="8"/>
  <c r="AT5" i="8" s="1"/>
  <c r="Y19" i="8"/>
  <c r="E18" i="8"/>
  <c r="T14" i="8"/>
  <c r="U1" i="8"/>
  <c r="Y31" i="8" s="1"/>
  <c r="Y41" i="8" s="1"/>
  <c r="J10" i="7"/>
  <c r="J15" i="7"/>
  <c r="J20" i="7"/>
  <c r="O20" i="7"/>
  <c r="O15" i="7" s="1"/>
  <c r="T20" i="7"/>
  <c r="T15" i="7" s="1"/>
  <c r="Y20" i="7"/>
  <c r="AD20" i="7"/>
  <c r="AD15" i="7"/>
  <c r="AD10" i="7"/>
  <c r="AD5" i="7"/>
  <c r="Y5" i="7"/>
  <c r="Y10" i="7" s="1"/>
  <c r="T5" i="7"/>
  <c r="T10" i="7" s="1"/>
  <c r="O5" i="7"/>
  <c r="J5" i="7"/>
  <c r="T50" i="3"/>
  <c r="S25" i="3"/>
  <c r="S30" i="3"/>
  <c r="S35" i="3"/>
  <c r="N35" i="3"/>
  <c r="I35" i="3"/>
  <c r="I30" i="3"/>
  <c r="I25" i="3"/>
  <c r="N25" i="3" s="1"/>
  <c r="I20" i="3"/>
  <c r="I10" i="3"/>
  <c r="S10" i="3"/>
  <c r="S5" i="3"/>
  <c r="N5" i="3"/>
  <c r="I5" i="3"/>
  <c r="N10" i="3"/>
  <c r="I15" i="3"/>
  <c r="N15" i="3" s="1"/>
  <c r="S20" i="3"/>
  <c r="S15" i="3"/>
  <c r="AF6" i="3" s="1"/>
  <c r="U1" i="7"/>
  <c r="Y27" i="7" s="1"/>
  <c r="Y37" i="7" s="1"/>
  <c r="E14" i="7"/>
  <c r="AR5" i="4"/>
  <c r="AR8" i="4" s="1"/>
  <c r="AR18" i="4"/>
  <c r="AR13" i="4" s="1"/>
  <c r="N10" i="5"/>
  <c r="S10" i="5"/>
  <c r="X20" i="5"/>
  <c r="X10" i="5"/>
  <c r="X15" i="5"/>
  <c r="X25" i="5"/>
  <c r="X30" i="5"/>
  <c r="S30" i="5"/>
  <c r="N30" i="5"/>
  <c r="N25" i="5"/>
  <c r="N20" i="5"/>
  <c r="N15" i="5"/>
  <c r="I5" i="5"/>
  <c r="N5" i="5"/>
  <c r="S5" i="5"/>
  <c r="X5" i="5"/>
  <c r="AC5" i="5"/>
  <c r="AC10" i="5"/>
  <c r="AC15" i="5"/>
  <c r="AC20" i="5"/>
  <c r="AC25" i="5"/>
  <c r="AC30" i="5"/>
  <c r="AC35" i="5"/>
  <c r="X35" i="5"/>
  <c r="S35" i="5"/>
  <c r="N35" i="5"/>
  <c r="I35" i="5"/>
  <c r="I30" i="5"/>
  <c r="I25" i="5"/>
  <c r="I20" i="5"/>
  <c r="I15" i="5"/>
  <c r="I10" i="5"/>
  <c r="AC35" i="6"/>
  <c r="X35" i="6"/>
  <c r="S35" i="6"/>
  <c r="S30" i="6" s="1"/>
  <c r="N35" i="6"/>
  <c r="I35" i="6"/>
  <c r="AC30" i="6"/>
  <c r="X30" i="6"/>
  <c r="N30" i="6"/>
  <c r="I30" i="6"/>
  <c r="AC25" i="6"/>
  <c r="X25" i="6" s="1"/>
  <c r="I25" i="6"/>
  <c r="N25" i="6" s="1"/>
  <c r="S25" i="6" s="1"/>
  <c r="AC20" i="6"/>
  <c r="X20" i="6"/>
  <c r="N20" i="6"/>
  <c r="I20" i="6"/>
  <c r="D17" i="6"/>
  <c r="AC15" i="6"/>
  <c r="X15" i="6"/>
  <c r="N15" i="6"/>
  <c r="I15" i="6"/>
  <c r="AC10" i="6"/>
  <c r="S10" i="6"/>
  <c r="I10" i="6"/>
  <c r="N10" i="6" s="1"/>
  <c r="AC5" i="6"/>
  <c r="X5" i="6"/>
  <c r="X10" i="6" s="1"/>
  <c r="S5" i="6"/>
  <c r="N5" i="6"/>
  <c r="AP6" i="6" s="1"/>
  <c r="AU6" i="6" s="1"/>
  <c r="I5" i="6"/>
  <c r="T1" i="6"/>
  <c r="X42" i="6" s="1"/>
  <c r="X51" i="6" s="1"/>
  <c r="I8" i="4"/>
  <c r="I13" i="4"/>
  <c r="I18" i="4"/>
  <c r="N18" i="4"/>
  <c r="S18" i="4"/>
  <c r="S13" i="4" s="1"/>
  <c r="X18" i="4"/>
  <c r="X13" i="4" s="1"/>
  <c r="AC18" i="4"/>
  <c r="AC13" i="4" s="1"/>
  <c r="AH18" i="4"/>
  <c r="AH13" i="4" s="1"/>
  <c r="AM18" i="4"/>
  <c r="AM13" i="4" s="1"/>
  <c r="AW18" i="4"/>
  <c r="AW13" i="4" s="1"/>
  <c r="BB18" i="4"/>
  <c r="BG18" i="4"/>
  <c r="BG13" i="4"/>
  <c r="BG8" i="4"/>
  <c r="BG5" i="4"/>
  <c r="BB5" i="4"/>
  <c r="AW5" i="4"/>
  <c r="AW8" i="4" s="1"/>
  <c r="AM5" i="4"/>
  <c r="AM8" i="4" s="1"/>
  <c r="AH5" i="4"/>
  <c r="AH8" i="4" s="1"/>
  <c r="AC5" i="4"/>
  <c r="AC8" i="4" s="1"/>
  <c r="X5" i="4"/>
  <c r="X8" i="4" s="1"/>
  <c r="S5" i="4"/>
  <c r="S8" i="4" s="1"/>
  <c r="N5" i="4"/>
  <c r="I5" i="4"/>
  <c r="AE11" i="17" l="1"/>
  <c r="AJ11" i="17" s="1"/>
  <c r="AF9" i="16"/>
  <c r="AK9" i="16" s="1"/>
  <c r="T13" i="14"/>
  <c r="AL5" i="14"/>
  <c r="AQ5" i="14" s="1"/>
  <c r="O13" i="14"/>
  <c r="AL7" i="14" s="1"/>
  <c r="AQ7" i="14" s="1"/>
  <c r="O8" i="11"/>
  <c r="O18" i="11"/>
  <c r="AQ3" i="13"/>
  <c r="AQ5" i="13"/>
  <c r="AK5" i="12"/>
  <c r="AP3" i="12"/>
  <c r="T13" i="11"/>
  <c r="AL3" i="11"/>
  <c r="AL5" i="11"/>
  <c r="AQ5" i="11" s="1"/>
  <c r="BY5" i="10"/>
  <c r="CD3" i="10"/>
  <c r="AG3" i="9"/>
  <c r="AL3" i="9" s="1"/>
  <c r="O9" i="9"/>
  <c r="O19" i="8"/>
  <c r="AO9" i="8"/>
  <c r="AT9" i="8" s="1"/>
  <c r="O9" i="8"/>
  <c r="AO3" i="8"/>
  <c r="AT3" i="8"/>
  <c r="T19" i="8"/>
  <c r="O10" i="7"/>
  <c r="Y15" i="7"/>
  <c r="AQ3" i="7"/>
  <c r="AV3" i="7" s="1"/>
  <c r="N30" i="3"/>
  <c r="N20" i="3"/>
  <c r="AF8" i="3"/>
  <c r="BB13" i="4"/>
  <c r="BB8" i="4"/>
  <c r="N8" i="4"/>
  <c r="N13" i="4"/>
  <c r="S15" i="6"/>
  <c r="AP8" i="6" s="1"/>
  <c r="AU8" i="6" s="1"/>
  <c r="S20" i="6"/>
  <c r="AP6" i="5"/>
  <c r="BT5" i="4"/>
  <c r="BY5" i="4" s="1"/>
  <c r="BT3" i="4"/>
  <c r="T1" i="5"/>
  <c r="X42" i="5" s="1"/>
  <c r="X51" i="5" s="1"/>
  <c r="D17" i="5"/>
  <c r="D15" i="4"/>
  <c r="AF1" i="4"/>
  <c r="AH26" i="4" s="1"/>
  <c r="AH38" i="4" s="1"/>
  <c r="O1" i="3"/>
  <c r="T42" i="3" s="1"/>
  <c r="D22" i="3"/>
  <c r="AM50" i="1"/>
  <c r="AM38" i="1"/>
  <c r="D19" i="1"/>
  <c r="AM1" i="1"/>
  <c r="AH30" i="1"/>
  <c r="AH25" i="1" s="1"/>
  <c r="AH20" i="1" s="1"/>
  <c r="BL20" i="1"/>
  <c r="BG20" i="1" s="1"/>
  <c r="I10" i="1"/>
  <c r="AH5" i="1"/>
  <c r="AH10" i="1" s="1"/>
  <c r="AH15" i="1" s="1"/>
  <c r="I5" i="1"/>
  <c r="I15" i="1"/>
  <c r="N15" i="1" s="1"/>
  <c r="I20" i="1"/>
  <c r="N20" i="1" s="1"/>
  <c r="I25" i="1"/>
  <c r="I30" i="1"/>
  <c r="N30" i="1"/>
  <c r="S30" i="1"/>
  <c r="S25" i="1" s="1"/>
  <c r="X30" i="1"/>
  <c r="X25" i="1" s="1"/>
  <c r="X20" i="1" s="1"/>
  <c r="AC30" i="1"/>
  <c r="AC25" i="1" s="1"/>
  <c r="AC20" i="1" s="1"/>
  <c r="AM30" i="1"/>
  <c r="AM25" i="1" s="1"/>
  <c r="AM20" i="1" s="1"/>
  <c r="AR30" i="1"/>
  <c r="AR25" i="1" s="1"/>
  <c r="AR20" i="1" s="1"/>
  <c r="AW30" i="1"/>
  <c r="AW25" i="1" s="1"/>
  <c r="AW20" i="1" s="1"/>
  <c r="BB30" i="1"/>
  <c r="BB25" i="1" s="1"/>
  <c r="BG30" i="1"/>
  <c r="BL30" i="1"/>
  <c r="BL25" i="1"/>
  <c r="BL15" i="1"/>
  <c r="BG15" i="1" s="1"/>
  <c r="BL10" i="1"/>
  <c r="BL5" i="1"/>
  <c r="BG5" i="1"/>
  <c r="BB5" i="1"/>
  <c r="BB10" i="1" s="1"/>
  <c r="AW5" i="1"/>
  <c r="AW10" i="1" s="1"/>
  <c r="AW15" i="1" s="1"/>
  <c r="AR5" i="1"/>
  <c r="AR10" i="1" s="1"/>
  <c r="AR15" i="1" s="1"/>
  <c r="AM5" i="1"/>
  <c r="AM10" i="1" s="1"/>
  <c r="AM15" i="1" s="1"/>
  <c r="AC5" i="1"/>
  <c r="AC10" i="1" s="1"/>
  <c r="AC15" i="1" s="1"/>
  <c r="X5" i="1"/>
  <c r="X10" i="1" s="1"/>
  <c r="X15" i="1" s="1"/>
  <c r="S5" i="1"/>
  <c r="S10" i="1" s="1"/>
  <c r="N5" i="1"/>
  <c r="O13" i="11" l="1"/>
  <c r="T15" i="13"/>
  <c r="O15" i="13"/>
  <c r="AP5" i="12"/>
  <c r="AK9" i="12"/>
  <c r="AP9" i="12" s="1"/>
  <c r="AL7" i="11"/>
  <c r="AQ7" i="11" s="1"/>
  <c r="CD5" i="10"/>
  <c r="O14" i="9"/>
  <c r="AG7" i="9"/>
  <c r="AL7" i="9" s="1"/>
  <c r="AO11" i="8"/>
  <c r="AT11" i="8" s="1"/>
  <c r="AQ5" i="7"/>
  <c r="AV5" i="7" s="1"/>
  <c r="BT7" i="4"/>
  <c r="BY7" i="4" s="1"/>
  <c r="BY3" i="4"/>
  <c r="S15" i="5"/>
  <c r="AU6" i="5"/>
  <c r="AK6" i="3"/>
  <c r="N10" i="1"/>
  <c r="S15" i="1" s="1"/>
  <c r="BG10" i="1"/>
  <c r="BB15" i="1" s="1"/>
  <c r="BG25" i="1"/>
  <c r="BB20" i="1" s="1"/>
  <c r="N25" i="1"/>
  <c r="S20" i="1" s="1"/>
  <c r="BY6" i="1"/>
  <c r="CD6" i="1" s="1"/>
  <c r="S25" i="5" l="1"/>
  <c r="S20" i="5" s="1"/>
  <c r="AP8" i="5" s="1"/>
  <c r="AU8" i="5" s="1"/>
  <c r="AK8" i="3"/>
  <c r="BY8" i="1"/>
  <c r="CD8" i="1" s="1"/>
  <c r="AQ3" i="11"/>
</calcChain>
</file>

<file path=xl/sharedStrings.xml><?xml version="1.0" encoding="utf-8"?>
<sst xmlns="http://schemas.openxmlformats.org/spreadsheetml/2006/main" count="246" uniqueCount="96">
  <si>
    <t>Chainage</t>
  </si>
  <si>
    <t>Existing RL</t>
  </si>
  <si>
    <t>Depth</t>
  </si>
  <si>
    <t>1- 32</t>
  </si>
  <si>
    <t>33- 72</t>
  </si>
  <si>
    <t>3156002023/WC/YD/958486255824253385 - GP FULPUR ME GATA NO 131 ME POKHARI KHUDAI KARY</t>
  </si>
  <si>
    <t>Ratio = 1.00:1.00</t>
  </si>
  <si>
    <t>RL = 1.00 m</t>
  </si>
  <si>
    <t>Measurement = 120.00X60.00X2.60</t>
  </si>
  <si>
    <t>RL 100.00</t>
  </si>
  <si>
    <t>RL 99.00</t>
  </si>
  <si>
    <t>RL 98.00</t>
  </si>
  <si>
    <t>RL 97.40</t>
  </si>
  <si>
    <t>Plan and cross-section of pond excavation</t>
  </si>
  <si>
    <t>RL 97.50</t>
  </si>
  <si>
    <t>21.00 -35.00</t>
  </si>
  <si>
    <t>1.00 - 20.00</t>
  </si>
  <si>
    <t>Measurement = 70.00X50.00X2.50</t>
  </si>
  <si>
    <t>3156004040/WC/YD/958486255824253948 - MISROULI ME GATA 718 BHAG 2 POKHARI KI KHUDAI</t>
  </si>
  <si>
    <t>1- 11</t>
  </si>
  <si>
    <t>12- 26</t>
  </si>
  <si>
    <t>27- 44</t>
  </si>
  <si>
    <t>3156002008/WC/YD/958486255824253840 - GP BELAULI ME GATA NO 131 ME POKHARI KHUDAI KARY</t>
  </si>
  <si>
    <t>RL 97.30</t>
  </si>
  <si>
    <t>Measurement = 110.00X35.00X2.30</t>
  </si>
  <si>
    <t>3156002009/WC/YD/958486255824253764 - GP BHATAULI ME MAUJA RAMPUR TIWARI ME DHOBI BASTI ME POKHARI KHUDAI KARY</t>
  </si>
  <si>
    <t>Measurement = 70.00X50.00X2.30</t>
  </si>
  <si>
    <t>RL 97.70</t>
  </si>
  <si>
    <t>1.00 - 16.00</t>
  </si>
  <si>
    <t>17.00 - 21.00</t>
  </si>
  <si>
    <t>Measurement = 70.00X30.00X2.00</t>
  </si>
  <si>
    <t>3156004034/WC/YD/958486255824254509 - KANHELI ME CHANDPUR GATA 30 ME POKHARI KI KHUDAI</t>
  </si>
  <si>
    <t>1- 14</t>
  </si>
  <si>
    <t>15- 20</t>
  </si>
  <si>
    <t>3156004021/WC/YD/958486255824255552 - DADI ME RAMANAND KE KHET KE PAS GATA 376 POKHARI KI KHUDAI</t>
  </si>
  <si>
    <t>Measurement = 40.00X50.00X2.20</t>
  </si>
  <si>
    <t>RL 97.80</t>
  </si>
  <si>
    <t>1- 4</t>
  </si>
  <si>
    <t>5</t>
  </si>
  <si>
    <t>6- 9</t>
  </si>
  <si>
    <t>10- 16</t>
  </si>
  <si>
    <t>17- 25</t>
  </si>
  <si>
    <t>3156007001/WH/958486255824007779 - GP AILAKH ME BHAVANI MAI KE PAS POKHARI KHUDAI KARY FIRST</t>
  </si>
  <si>
    <t>Measurement = 47.00X45.00X2.40</t>
  </si>
  <si>
    <t>1- 3</t>
  </si>
  <si>
    <t>4 - 12</t>
  </si>
  <si>
    <t>13- 15</t>
  </si>
  <si>
    <t>Measurement = 48.00X30.00X2.50</t>
  </si>
  <si>
    <t>3156007001/WH/958486255824008438 - GP AILAKH ME BHAWANI MAI KE PASS 2 POKHARI KHUDAI KARY GATA NO 1023</t>
  </si>
  <si>
    <t>RL 97.60</t>
  </si>
  <si>
    <t>1- 26</t>
  </si>
  <si>
    <t>27 - 36</t>
  </si>
  <si>
    <r>
      <t xml:space="preserve">Ratio = </t>
    </r>
    <r>
      <rPr>
        <sz val="11"/>
        <color theme="1"/>
        <rFont val="Aptos Narrow"/>
        <family val="2"/>
        <scheme val="minor"/>
      </rPr>
      <t>1.00:1.00</t>
    </r>
  </si>
  <si>
    <r>
      <t xml:space="preserve">RL = </t>
    </r>
    <r>
      <rPr>
        <sz val="11"/>
        <color theme="1"/>
        <rFont val="Aptos Narrow"/>
        <family val="2"/>
        <scheme val="minor"/>
      </rPr>
      <t>1.00 m</t>
    </r>
  </si>
  <si>
    <r>
      <t xml:space="preserve">Grid = </t>
    </r>
    <r>
      <rPr>
        <sz val="11"/>
        <color theme="1"/>
        <rFont val="Aptos Narrow"/>
        <family val="2"/>
        <scheme val="minor"/>
      </rPr>
      <t>10.00m X 10.00m</t>
    </r>
  </si>
  <si>
    <t>3156004040/WH/YD/958486255824013892 - GP Mishrauli Me Gata No 718 Me Pokhari Khudai ewam jirnodhar Karya</t>
  </si>
  <si>
    <r>
      <t>Measurement = 1</t>
    </r>
    <r>
      <rPr>
        <sz val="11"/>
        <color theme="1"/>
        <rFont val="Aptos Narrow"/>
        <family val="2"/>
        <scheme val="minor"/>
      </rPr>
      <t>20.00X30.00X2.50</t>
    </r>
  </si>
  <si>
    <r>
      <t xml:space="preserve">Grid = </t>
    </r>
    <r>
      <rPr>
        <sz val="11"/>
        <color theme="1"/>
        <rFont val="Aptos Narrow"/>
        <family val="2"/>
        <scheme val="minor"/>
      </rPr>
      <t>10.00X10.00 m</t>
    </r>
  </si>
  <si>
    <t>1 - 4</t>
  </si>
  <si>
    <t>5 - 14</t>
  </si>
  <si>
    <t>15 - 20</t>
  </si>
  <si>
    <t>3156007029/WH/YD/958486255824015057 - GP KANSO ME GATA NO 709 PAR POKHARI KHUDAI KARY</t>
  </si>
  <si>
    <r>
      <t>Measurement =</t>
    </r>
    <r>
      <rPr>
        <sz val="11"/>
        <color theme="1"/>
        <rFont val="Aptos Narrow"/>
        <family val="2"/>
        <scheme val="minor"/>
      </rPr>
      <t xml:space="preserve"> 45.00X40.00X2.50</t>
    </r>
  </si>
  <si>
    <t xml:space="preserve"> </t>
  </si>
  <si>
    <t>4 - 7</t>
  </si>
  <si>
    <t>8 - 12</t>
  </si>
  <si>
    <t>13 - 16</t>
  </si>
  <si>
    <r>
      <t>Measurement =</t>
    </r>
    <r>
      <rPr>
        <sz val="11"/>
        <color theme="1"/>
        <rFont val="Aptos Narrow"/>
        <family val="2"/>
        <scheme val="minor"/>
      </rPr>
      <t xml:space="preserve"> 40.00X38.00X2.50</t>
    </r>
  </si>
  <si>
    <r>
      <t>Ratio =</t>
    </r>
    <r>
      <rPr>
        <sz val="11"/>
        <color theme="1"/>
        <rFont val="Aptos Narrow"/>
        <family val="2"/>
        <scheme val="minor"/>
      </rPr>
      <t xml:space="preserve"> 1.00:1.00</t>
    </r>
  </si>
  <si>
    <r>
      <t>RL =</t>
    </r>
    <r>
      <rPr>
        <sz val="11"/>
        <color theme="1"/>
        <rFont val="Aptos Narrow"/>
        <family val="2"/>
        <scheme val="minor"/>
      </rPr>
      <t xml:space="preserve"> 1.00 m</t>
    </r>
  </si>
  <si>
    <t>3156002043/WH/YD/958486255824014924 - GP LOKYA ME GATA NO 220 ME POKHARI KHUDAI O JIDHORDHAR KARY</t>
  </si>
  <si>
    <r>
      <t>Grid =</t>
    </r>
    <r>
      <rPr>
        <sz val="11"/>
        <color theme="1"/>
        <rFont val="Aptos Narrow"/>
        <family val="2"/>
        <scheme val="minor"/>
      </rPr>
      <t xml:space="preserve"> 5.00X5.00 m</t>
    </r>
  </si>
  <si>
    <r>
      <t>Measurement =</t>
    </r>
    <r>
      <rPr>
        <sz val="11"/>
        <color theme="1"/>
        <rFont val="Aptos Narrow"/>
        <family val="2"/>
        <scheme val="minor"/>
      </rPr>
      <t xml:space="preserve"> 25.00X20.00X2.50</t>
    </r>
  </si>
  <si>
    <t>3156004035/WH/YD/958486255824015212 - KUCHAHARA ME RAMCHANDRA KE GHAR KE PAS GATA 322 POKHARI KI KHUDAI</t>
  </si>
  <si>
    <t>1 - 14</t>
  </si>
  <si>
    <r>
      <t>Measurement =</t>
    </r>
    <r>
      <rPr>
        <sz val="11"/>
        <color theme="1"/>
        <rFont val="Aptos Narrow"/>
        <family val="2"/>
        <scheme val="minor"/>
      </rPr>
      <t xml:space="preserve"> 45.00X40.00X2.00</t>
    </r>
  </si>
  <si>
    <t>3156007029/WH/YD/958486255824015056 - GP KANSO ME GATA NO 705 DHOBI GHAT POKHARI KHUDAI KARY</t>
  </si>
  <si>
    <t>1 - 10</t>
  </si>
  <si>
    <t>11 - 20</t>
  </si>
  <si>
    <t>3156004013/WH/YD/958486255824015533 - BHIKHARIPUR ME BHUJBAHA GATA 581 POKHARI KI KHUDAI</t>
  </si>
  <si>
    <t>Measurement =</t>
  </si>
  <si>
    <t>100.00X</t>
  </si>
  <si>
    <t>20.00+15.00</t>
  </si>
  <si>
    <t>X2.50</t>
  </si>
  <si>
    <r>
      <t>Grid =</t>
    </r>
    <r>
      <rPr>
        <sz val="11"/>
        <color theme="1"/>
        <rFont val="Aptos Narrow"/>
        <family val="2"/>
        <scheme val="minor"/>
      </rPr>
      <t xml:space="preserve"> 10.00X10.00 m</t>
    </r>
  </si>
  <si>
    <t>1- 2</t>
  </si>
  <si>
    <t>3 - 6</t>
  </si>
  <si>
    <t>7 - 10</t>
  </si>
  <si>
    <t>11 - 12</t>
  </si>
  <si>
    <r>
      <t xml:space="preserve">Grid = </t>
    </r>
    <r>
      <rPr>
        <sz val="11"/>
        <color theme="1"/>
        <rFont val="Aptos Narrow"/>
        <family val="2"/>
        <scheme val="minor"/>
      </rPr>
      <t>10.00X10.00  m</t>
    </r>
  </si>
  <si>
    <r>
      <t>Measurement =</t>
    </r>
    <r>
      <rPr>
        <sz val="11"/>
        <color theme="1"/>
        <rFont val="Aptos Narrow"/>
        <family val="2"/>
        <scheme val="minor"/>
      </rPr>
      <t xml:space="preserve"> 40.00X28.00X2.50</t>
    </r>
  </si>
  <si>
    <t>3156002079/WH/YD/958486255824015478 - GP HASANPUR ME GATA NO 222 ME SARWAJNIK POKHARI SILT SAFAI KARY</t>
  </si>
  <si>
    <r>
      <t>Measurement =</t>
    </r>
    <r>
      <rPr>
        <sz val="11"/>
        <color theme="1"/>
        <rFont val="Aptos Narrow"/>
        <family val="2"/>
        <scheme val="minor"/>
      </rPr>
      <t xml:space="preserve"> 35.00X35.00X2.00</t>
    </r>
  </si>
  <si>
    <t>4</t>
  </si>
  <si>
    <t>5 - 7</t>
  </si>
  <si>
    <t>3156004044/WH/YD/958486255824015918 - PAKADI BUJURG ME GATA 1966 ME POKHARI KI KHUDAI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</si>
</sst>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22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Down="1">
      <left/>
      <right/>
      <top/>
      <bottom/>
      <diagonal style="thin">
        <color auto="1"/>
      </diagonal>
    </border>
    <border diagonalUp="1">
      <left/>
      <right/>
      <top/>
      <bottom/>
      <diagonal style="thin">
        <color auto="1"/>
      </diagonal>
    </border>
    <border>
      <left/>
      <right/>
      <top/>
      <bottom style="dashDotDot">
        <color auto="1"/>
      </bottom>
      <diagonal/>
    </border>
    <border diagonalUp="1">
      <left/>
      <right/>
      <top/>
      <bottom style="dashDotDot">
        <color auto="1"/>
      </bottom>
      <diagonal style="thin">
        <color auto="1"/>
      </diagonal>
    </border>
    <border diagonalDown="1">
      <left/>
      <right/>
      <top/>
      <bottom style="dashDotDot">
        <color auto="1"/>
      </bottom>
      <diagonal style="thin">
        <color auto="1"/>
      </diagonal>
    </border>
    <border>
      <left/>
      <right/>
      <top style="dashDotDot">
        <color auto="1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 style="thin">
        <color indexed="64"/>
      </top>
      <bottom style="dashDotDot">
        <color auto="1"/>
      </bottom>
      <diagonal/>
    </border>
    <border>
      <left/>
      <right style="thin">
        <color indexed="64"/>
      </right>
      <top style="dashDotDot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</borders>
  <cellStyleXfs count="1">
    <xf numFmtId="0" fontId="0" fillId="0" borderId="0"/>
  </cellStyleXfs>
  <cellXfs count="133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4" xfId="0" applyBorder="1" applyAlignment="1">
      <alignment vertical="center"/>
    </xf>
    <xf numFmtId="2" fontId="0" fillId="0" borderId="3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2" xfId="0" applyNumberFormat="1" applyBorder="1" applyAlignment="1">
      <alignment vertical="center"/>
    </xf>
    <xf numFmtId="49" fontId="0" fillId="0" borderId="3" xfId="0" applyNumberFormat="1" applyBorder="1" applyAlignment="1">
      <alignment vertical="center"/>
    </xf>
    <xf numFmtId="49" fontId="0" fillId="0" borderId="4" xfId="0" applyNumberFormat="1" applyBorder="1" applyAlignment="1">
      <alignment vertical="center"/>
    </xf>
    <xf numFmtId="49" fontId="0" fillId="0" borderId="7" xfId="0" applyNumberFormat="1" applyBorder="1" applyAlignment="1">
      <alignment vertical="center"/>
    </xf>
    <xf numFmtId="49" fontId="0" fillId="0" borderId="8" xfId="0" applyNumberFormat="1" applyBorder="1" applyAlignment="1">
      <alignment vertical="center"/>
    </xf>
    <xf numFmtId="49" fontId="0" fillId="0" borderId="9" xfId="0" applyNumberFormat="1" applyBorder="1" applyAlignment="1">
      <alignment vertical="center"/>
    </xf>
    <xf numFmtId="2" fontId="0" fillId="0" borderId="6" xfId="0" applyNumberFormat="1" applyBorder="1" applyAlignment="1">
      <alignment vertical="center"/>
    </xf>
    <xf numFmtId="2" fontId="0" fillId="0" borderId="8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0" fontId="0" fillId="0" borderId="24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" fillId="0" borderId="2" xfId="0" applyFont="1" applyBorder="1" applyAlignment="1">
      <alignment horizontal="left" vertical="center" indent="1"/>
    </xf>
    <xf numFmtId="0" fontId="2" fillId="0" borderId="3" xfId="0" applyFont="1" applyBorder="1" applyAlignment="1">
      <alignment horizontal="left" vertical="center" indent="1"/>
    </xf>
    <xf numFmtId="0" fontId="2" fillId="0" borderId="4" xfId="0" applyFont="1" applyBorder="1" applyAlignment="1">
      <alignment horizontal="left" vertical="center" indent="1"/>
    </xf>
    <xf numFmtId="0" fontId="2" fillId="0" borderId="7" xfId="0" applyFont="1" applyBorder="1" applyAlignment="1">
      <alignment horizontal="left" vertical="center" indent="1"/>
    </xf>
    <xf numFmtId="0" fontId="2" fillId="0" borderId="8" xfId="0" applyFont="1" applyBorder="1" applyAlignment="1">
      <alignment horizontal="left" vertical="center" indent="1"/>
    </xf>
    <xf numFmtId="0" fontId="2" fillId="0" borderId="9" xfId="0" applyFont="1" applyBorder="1" applyAlignment="1">
      <alignment horizontal="left" vertical="center" indent="1"/>
    </xf>
    <xf numFmtId="0" fontId="0" fillId="0" borderId="12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2" fontId="0" fillId="0" borderId="6" xfId="0" applyNumberFormat="1" applyBorder="1" applyAlignment="1">
      <alignment horizontal="center" vertical="center" textRotation="90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 indent="1"/>
    </xf>
    <xf numFmtId="0" fontId="2" fillId="0" borderId="3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center" wrapText="1" indent="1"/>
    </xf>
    <xf numFmtId="0" fontId="2" fillId="0" borderId="5" xfId="0" applyFont="1" applyBorder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2" fillId="0" borderId="6" xfId="0" applyFont="1" applyBorder="1" applyAlignment="1">
      <alignment horizontal="left" vertical="center" wrapText="1" indent="1"/>
    </xf>
    <xf numFmtId="0" fontId="2" fillId="0" borderId="7" xfId="0" applyFont="1" applyBorder="1" applyAlignment="1">
      <alignment horizontal="left" vertical="center" wrapText="1" indent="1"/>
    </xf>
    <xf numFmtId="0" fontId="2" fillId="0" borderId="8" xfId="0" applyFont="1" applyBorder="1" applyAlignment="1">
      <alignment horizontal="left" vertical="center" wrapText="1" indent="1"/>
    </xf>
    <xf numFmtId="0" fontId="2" fillId="0" borderId="9" xfId="0" applyFont="1" applyBorder="1" applyAlignment="1">
      <alignment horizontal="left" vertical="center" wrapText="1" indent="1"/>
    </xf>
    <xf numFmtId="49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 textRotation="90"/>
    </xf>
    <xf numFmtId="49" fontId="0" fillId="0" borderId="5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left" vertical="center" indent="1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 indent="1"/>
    </xf>
    <xf numFmtId="49" fontId="0" fillId="0" borderId="21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49" fontId="0" fillId="0" borderId="23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2" fontId="0" fillId="0" borderId="9" xfId="0" applyNumberFormat="1" applyFont="1" applyBorder="1" applyAlignment="1">
      <alignment horizontal="center" vertical="center"/>
    </xf>
    <xf numFmtId="2" fontId="0" fillId="0" borderId="8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 indent="1"/>
    </xf>
    <xf numFmtId="0" fontId="2" fillId="0" borderId="0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27</xdr:row>
      <xdr:rowOff>380</xdr:rowOff>
    </xdr:from>
    <xdr:to>
      <xdr:col>32</xdr:col>
      <xdr:colOff>33190</xdr:colOff>
      <xdr:row>27</xdr:row>
      <xdr:rowOff>158750</xdr:rowOff>
    </xdr:to>
    <xdr:sp macro="" textlink="">
      <xdr:nvSpPr>
        <xdr:cNvPr id="5" name="Free-form: Shape 4">
          <a:extLst>
            <a:ext uri="{FF2B5EF4-FFF2-40B4-BE49-F238E27FC236}">
              <a16:creationId xmlns:a16="http://schemas.microsoft.com/office/drawing/2014/main" id="{0C48DBF2-1113-48BF-9AE2-EB3CD059471E}"/>
            </a:ext>
          </a:extLst>
        </xdr:cNvPr>
        <xdr:cNvSpPr/>
      </xdr:nvSpPr>
      <xdr:spPr>
        <a:xfrm>
          <a:off x="1268942" y="5143880"/>
          <a:ext cx="4521581" cy="158370"/>
        </a:xfrm>
        <a:custGeom>
          <a:avLst/>
          <a:gdLst>
            <a:gd name="csX0" fmla="*/ 0 w 4909990"/>
            <a:gd name="csY0" fmla="*/ 9146 h 475958"/>
            <a:gd name="csX1" fmla="*/ 266700 w 4909990"/>
            <a:gd name="csY1" fmla="*/ 47246 h 475958"/>
            <a:gd name="csX2" fmla="*/ 381000 w 4909990"/>
            <a:gd name="csY2" fmla="*/ 190121 h 475958"/>
            <a:gd name="csX3" fmla="*/ 714375 w 4909990"/>
            <a:gd name="csY3" fmla="*/ 399671 h 475958"/>
            <a:gd name="csX4" fmla="*/ 1123950 w 4909990"/>
            <a:gd name="csY4" fmla="*/ 447296 h 475958"/>
            <a:gd name="csX5" fmla="*/ 1552575 w 4909990"/>
            <a:gd name="csY5" fmla="*/ 475871 h 475958"/>
            <a:gd name="csX6" fmla="*/ 2486025 w 4909990"/>
            <a:gd name="csY6" fmla="*/ 456821 h 475958"/>
            <a:gd name="csX7" fmla="*/ 3362325 w 4909990"/>
            <a:gd name="csY7" fmla="*/ 475871 h 475958"/>
            <a:gd name="csX8" fmla="*/ 4219575 w 4909990"/>
            <a:gd name="csY8" fmla="*/ 447296 h 475958"/>
            <a:gd name="csX9" fmla="*/ 4381500 w 4909990"/>
            <a:gd name="csY9" fmla="*/ 361571 h 475958"/>
            <a:gd name="csX10" fmla="*/ 4552950 w 4909990"/>
            <a:gd name="csY10" fmla="*/ 266321 h 475958"/>
            <a:gd name="csX11" fmla="*/ 4695825 w 4909990"/>
            <a:gd name="csY11" fmla="*/ 228221 h 475958"/>
            <a:gd name="csX12" fmla="*/ 4810125 w 4909990"/>
            <a:gd name="csY12" fmla="*/ 18671 h 475958"/>
            <a:gd name="csX13" fmla="*/ 4905375 w 4909990"/>
            <a:gd name="csY13" fmla="*/ 9146 h 475958"/>
            <a:gd name="csX14" fmla="*/ 4886325 w 4909990"/>
            <a:gd name="csY14" fmla="*/ 9146 h 47595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</a:cxnLst>
          <a:rect l="l" t="t" r="r" b="b"/>
          <a:pathLst>
            <a:path w="4909990" h="475958">
              <a:moveTo>
                <a:pt x="0" y="9146"/>
              </a:moveTo>
              <a:cubicBezTo>
                <a:pt x="101600" y="13115"/>
                <a:pt x="203200" y="17084"/>
                <a:pt x="266700" y="47246"/>
              </a:cubicBezTo>
              <a:cubicBezTo>
                <a:pt x="330200" y="77408"/>
                <a:pt x="306388" y="131384"/>
                <a:pt x="381000" y="190121"/>
              </a:cubicBezTo>
              <a:cubicBezTo>
                <a:pt x="455613" y="248859"/>
                <a:pt x="590550" y="356809"/>
                <a:pt x="714375" y="399671"/>
              </a:cubicBezTo>
              <a:cubicBezTo>
                <a:pt x="838200" y="442533"/>
                <a:pt x="984250" y="434596"/>
                <a:pt x="1123950" y="447296"/>
              </a:cubicBezTo>
              <a:cubicBezTo>
                <a:pt x="1263650" y="459996"/>
                <a:pt x="1325563" y="474284"/>
                <a:pt x="1552575" y="475871"/>
              </a:cubicBezTo>
              <a:cubicBezTo>
                <a:pt x="1779587" y="477458"/>
                <a:pt x="2184400" y="456821"/>
                <a:pt x="2486025" y="456821"/>
              </a:cubicBezTo>
              <a:cubicBezTo>
                <a:pt x="2787650" y="456821"/>
                <a:pt x="3073400" y="477459"/>
                <a:pt x="3362325" y="475871"/>
              </a:cubicBezTo>
              <a:cubicBezTo>
                <a:pt x="3651250" y="474284"/>
                <a:pt x="4049713" y="466346"/>
                <a:pt x="4219575" y="447296"/>
              </a:cubicBezTo>
              <a:cubicBezTo>
                <a:pt x="4389437" y="428246"/>
                <a:pt x="4325938" y="391733"/>
                <a:pt x="4381500" y="361571"/>
              </a:cubicBezTo>
              <a:cubicBezTo>
                <a:pt x="4437062" y="331409"/>
                <a:pt x="4500563" y="288546"/>
                <a:pt x="4552950" y="266321"/>
              </a:cubicBezTo>
              <a:cubicBezTo>
                <a:pt x="4605337" y="244096"/>
                <a:pt x="4652963" y="269496"/>
                <a:pt x="4695825" y="228221"/>
              </a:cubicBezTo>
              <a:cubicBezTo>
                <a:pt x="4738687" y="186946"/>
                <a:pt x="4775200" y="55183"/>
                <a:pt x="4810125" y="18671"/>
              </a:cubicBezTo>
              <a:cubicBezTo>
                <a:pt x="4845050" y="-17841"/>
                <a:pt x="4892675" y="10733"/>
                <a:pt x="4905375" y="9146"/>
              </a:cubicBezTo>
              <a:cubicBezTo>
                <a:pt x="4918075" y="7559"/>
                <a:pt x="4902200" y="8352"/>
                <a:pt x="4886325" y="9146"/>
              </a:cubicBezTo>
            </a:path>
          </a:pathLst>
        </a:custGeom>
        <a:noFill/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29</xdr:row>
      <xdr:rowOff>380</xdr:rowOff>
    </xdr:from>
    <xdr:to>
      <xdr:col>33</xdr:col>
      <xdr:colOff>33190</xdr:colOff>
      <xdr:row>31</xdr:row>
      <xdr:rowOff>104776</xdr:rowOff>
    </xdr:to>
    <xdr:sp macro="" textlink="">
      <xdr:nvSpPr>
        <xdr:cNvPr id="2" name="Free-form: Shape 1">
          <a:extLst>
            <a:ext uri="{FF2B5EF4-FFF2-40B4-BE49-F238E27FC236}">
              <a16:creationId xmlns:a16="http://schemas.microsoft.com/office/drawing/2014/main" id="{C85524FE-A509-4B6D-8067-67FBCD1952BC}"/>
            </a:ext>
          </a:extLst>
        </xdr:cNvPr>
        <xdr:cNvSpPr/>
      </xdr:nvSpPr>
      <xdr:spPr>
        <a:xfrm>
          <a:off x="1276350" y="5524880"/>
          <a:ext cx="5633890" cy="485396"/>
        </a:xfrm>
        <a:custGeom>
          <a:avLst/>
          <a:gdLst>
            <a:gd name="csX0" fmla="*/ 0 w 4909990"/>
            <a:gd name="csY0" fmla="*/ 9146 h 475958"/>
            <a:gd name="csX1" fmla="*/ 266700 w 4909990"/>
            <a:gd name="csY1" fmla="*/ 47246 h 475958"/>
            <a:gd name="csX2" fmla="*/ 381000 w 4909990"/>
            <a:gd name="csY2" fmla="*/ 190121 h 475958"/>
            <a:gd name="csX3" fmla="*/ 714375 w 4909990"/>
            <a:gd name="csY3" fmla="*/ 399671 h 475958"/>
            <a:gd name="csX4" fmla="*/ 1123950 w 4909990"/>
            <a:gd name="csY4" fmla="*/ 447296 h 475958"/>
            <a:gd name="csX5" fmla="*/ 1552575 w 4909990"/>
            <a:gd name="csY5" fmla="*/ 475871 h 475958"/>
            <a:gd name="csX6" fmla="*/ 2486025 w 4909990"/>
            <a:gd name="csY6" fmla="*/ 456821 h 475958"/>
            <a:gd name="csX7" fmla="*/ 3362325 w 4909990"/>
            <a:gd name="csY7" fmla="*/ 475871 h 475958"/>
            <a:gd name="csX8" fmla="*/ 4219575 w 4909990"/>
            <a:gd name="csY8" fmla="*/ 447296 h 475958"/>
            <a:gd name="csX9" fmla="*/ 4381500 w 4909990"/>
            <a:gd name="csY9" fmla="*/ 361571 h 475958"/>
            <a:gd name="csX10" fmla="*/ 4552950 w 4909990"/>
            <a:gd name="csY10" fmla="*/ 266321 h 475958"/>
            <a:gd name="csX11" fmla="*/ 4695825 w 4909990"/>
            <a:gd name="csY11" fmla="*/ 228221 h 475958"/>
            <a:gd name="csX12" fmla="*/ 4810125 w 4909990"/>
            <a:gd name="csY12" fmla="*/ 18671 h 475958"/>
            <a:gd name="csX13" fmla="*/ 4905375 w 4909990"/>
            <a:gd name="csY13" fmla="*/ 9146 h 475958"/>
            <a:gd name="csX14" fmla="*/ 4886325 w 4909990"/>
            <a:gd name="csY14" fmla="*/ 9146 h 47595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</a:cxnLst>
          <a:rect l="l" t="t" r="r" b="b"/>
          <a:pathLst>
            <a:path w="4909990" h="475958">
              <a:moveTo>
                <a:pt x="0" y="9146"/>
              </a:moveTo>
              <a:cubicBezTo>
                <a:pt x="101600" y="13115"/>
                <a:pt x="203200" y="17084"/>
                <a:pt x="266700" y="47246"/>
              </a:cubicBezTo>
              <a:cubicBezTo>
                <a:pt x="330200" y="77408"/>
                <a:pt x="306388" y="131384"/>
                <a:pt x="381000" y="190121"/>
              </a:cubicBezTo>
              <a:cubicBezTo>
                <a:pt x="455613" y="248859"/>
                <a:pt x="590550" y="356809"/>
                <a:pt x="714375" y="399671"/>
              </a:cubicBezTo>
              <a:cubicBezTo>
                <a:pt x="838200" y="442533"/>
                <a:pt x="984250" y="434596"/>
                <a:pt x="1123950" y="447296"/>
              </a:cubicBezTo>
              <a:cubicBezTo>
                <a:pt x="1263650" y="459996"/>
                <a:pt x="1325563" y="474284"/>
                <a:pt x="1552575" y="475871"/>
              </a:cubicBezTo>
              <a:cubicBezTo>
                <a:pt x="1779587" y="477458"/>
                <a:pt x="2184400" y="456821"/>
                <a:pt x="2486025" y="456821"/>
              </a:cubicBezTo>
              <a:cubicBezTo>
                <a:pt x="2787650" y="456821"/>
                <a:pt x="3073400" y="477459"/>
                <a:pt x="3362325" y="475871"/>
              </a:cubicBezTo>
              <a:cubicBezTo>
                <a:pt x="3651250" y="474284"/>
                <a:pt x="4049713" y="466346"/>
                <a:pt x="4219575" y="447296"/>
              </a:cubicBezTo>
              <a:cubicBezTo>
                <a:pt x="4389437" y="428246"/>
                <a:pt x="4325938" y="391733"/>
                <a:pt x="4381500" y="361571"/>
              </a:cubicBezTo>
              <a:cubicBezTo>
                <a:pt x="4437062" y="331409"/>
                <a:pt x="4500563" y="288546"/>
                <a:pt x="4552950" y="266321"/>
              </a:cubicBezTo>
              <a:cubicBezTo>
                <a:pt x="4605337" y="244096"/>
                <a:pt x="4652963" y="269496"/>
                <a:pt x="4695825" y="228221"/>
              </a:cubicBezTo>
              <a:cubicBezTo>
                <a:pt x="4738687" y="186946"/>
                <a:pt x="4775200" y="55183"/>
                <a:pt x="4810125" y="18671"/>
              </a:cubicBezTo>
              <a:cubicBezTo>
                <a:pt x="4845050" y="-17841"/>
                <a:pt x="4892675" y="10733"/>
                <a:pt x="4905375" y="9146"/>
              </a:cubicBezTo>
              <a:cubicBezTo>
                <a:pt x="4918075" y="7559"/>
                <a:pt x="4902200" y="8352"/>
                <a:pt x="4886325" y="9146"/>
              </a:cubicBezTo>
            </a:path>
          </a:pathLst>
        </a:custGeom>
        <a:noFill/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</xdr:colOff>
      <xdr:row>17</xdr:row>
      <xdr:rowOff>379</xdr:rowOff>
    </xdr:from>
    <xdr:to>
      <xdr:col>43</xdr:col>
      <xdr:colOff>33190</xdr:colOff>
      <xdr:row>19</xdr:row>
      <xdr:rowOff>85725</xdr:rowOff>
    </xdr:to>
    <xdr:sp macro="" textlink="">
      <xdr:nvSpPr>
        <xdr:cNvPr id="5" name="Free-form: Shape 4">
          <a:extLst>
            <a:ext uri="{FF2B5EF4-FFF2-40B4-BE49-F238E27FC236}">
              <a16:creationId xmlns:a16="http://schemas.microsoft.com/office/drawing/2014/main" id="{8E812A30-322A-41BB-BE81-313D51F41FCF}"/>
            </a:ext>
          </a:extLst>
        </xdr:cNvPr>
        <xdr:cNvSpPr/>
      </xdr:nvSpPr>
      <xdr:spPr>
        <a:xfrm>
          <a:off x="2000250" y="3238879"/>
          <a:ext cx="5814865" cy="466346"/>
        </a:xfrm>
        <a:custGeom>
          <a:avLst/>
          <a:gdLst>
            <a:gd name="csX0" fmla="*/ 0 w 4909990"/>
            <a:gd name="csY0" fmla="*/ 9146 h 475958"/>
            <a:gd name="csX1" fmla="*/ 266700 w 4909990"/>
            <a:gd name="csY1" fmla="*/ 47246 h 475958"/>
            <a:gd name="csX2" fmla="*/ 381000 w 4909990"/>
            <a:gd name="csY2" fmla="*/ 190121 h 475958"/>
            <a:gd name="csX3" fmla="*/ 714375 w 4909990"/>
            <a:gd name="csY3" fmla="*/ 399671 h 475958"/>
            <a:gd name="csX4" fmla="*/ 1123950 w 4909990"/>
            <a:gd name="csY4" fmla="*/ 447296 h 475958"/>
            <a:gd name="csX5" fmla="*/ 1552575 w 4909990"/>
            <a:gd name="csY5" fmla="*/ 475871 h 475958"/>
            <a:gd name="csX6" fmla="*/ 2486025 w 4909990"/>
            <a:gd name="csY6" fmla="*/ 456821 h 475958"/>
            <a:gd name="csX7" fmla="*/ 3362325 w 4909990"/>
            <a:gd name="csY7" fmla="*/ 475871 h 475958"/>
            <a:gd name="csX8" fmla="*/ 4219575 w 4909990"/>
            <a:gd name="csY8" fmla="*/ 447296 h 475958"/>
            <a:gd name="csX9" fmla="*/ 4381500 w 4909990"/>
            <a:gd name="csY9" fmla="*/ 361571 h 475958"/>
            <a:gd name="csX10" fmla="*/ 4552950 w 4909990"/>
            <a:gd name="csY10" fmla="*/ 266321 h 475958"/>
            <a:gd name="csX11" fmla="*/ 4695825 w 4909990"/>
            <a:gd name="csY11" fmla="*/ 228221 h 475958"/>
            <a:gd name="csX12" fmla="*/ 4810125 w 4909990"/>
            <a:gd name="csY12" fmla="*/ 18671 h 475958"/>
            <a:gd name="csX13" fmla="*/ 4905375 w 4909990"/>
            <a:gd name="csY13" fmla="*/ 9146 h 475958"/>
            <a:gd name="csX14" fmla="*/ 4886325 w 4909990"/>
            <a:gd name="csY14" fmla="*/ 9146 h 47595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</a:cxnLst>
          <a:rect l="l" t="t" r="r" b="b"/>
          <a:pathLst>
            <a:path w="4909990" h="475958">
              <a:moveTo>
                <a:pt x="0" y="9146"/>
              </a:moveTo>
              <a:cubicBezTo>
                <a:pt x="101600" y="13115"/>
                <a:pt x="203200" y="17084"/>
                <a:pt x="266700" y="47246"/>
              </a:cubicBezTo>
              <a:cubicBezTo>
                <a:pt x="330200" y="77408"/>
                <a:pt x="306388" y="131384"/>
                <a:pt x="381000" y="190121"/>
              </a:cubicBezTo>
              <a:cubicBezTo>
                <a:pt x="455613" y="248859"/>
                <a:pt x="590550" y="356809"/>
                <a:pt x="714375" y="399671"/>
              </a:cubicBezTo>
              <a:cubicBezTo>
                <a:pt x="838200" y="442533"/>
                <a:pt x="984250" y="434596"/>
                <a:pt x="1123950" y="447296"/>
              </a:cubicBezTo>
              <a:cubicBezTo>
                <a:pt x="1263650" y="459996"/>
                <a:pt x="1325563" y="474284"/>
                <a:pt x="1552575" y="475871"/>
              </a:cubicBezTo>
              <a:cubicBezTo>
                <a:pt x="1779587" y="477458"/>
                <a:pt x="2184400" y="456821"/>
                <a:pt x="2486025" y="456821"/>
              </a:cubicBezTo>
              <a:cubicBezTo>
                <a:pt x="2787650" y="456821"/>
                <a:pt x="3073400" y="477459"/>
                <a:pt x="3362325" y="475871"/>
              </a:cubicBezTo>
              <a:cubicBezTo>
                <a:pt x="3651250" y="474284"/>
                <a:pt x="4049713" y="466346"/>
                <a:pt x="4219575" y="447296"/>
              </a:cubicBezTo>
              <a:cubicBezTo>
                <a:pt x="4389437" y="428246"/>
                <a:pt x="4325938" y="391733"/>
                <a:pt x="4381500" y="361571"/>
              </a:cubicBezTo>
              <a:cubicBezTo>
                <a:pt x="4437062" y="331409"/>
                <a:pt x="4500563" y="288546"/>
                <a:pt x="4552950" y="266321"/>
              </a:cubicBezTo>
              <a:cubicBezTo>
                <a:pt x="4605337" y="244096"/>
                <a:pt x="4652963" y="269496"/>
                <a:pt x="4695825" y="228221"/>
              </a:cubicBezTo>
              <a:cubicBezTo>
                <a:pt x="4738687" y="186946"/>
                <a:pt x="4775200" y="55183"/>
                <a:pt x="4810125" y="18671"/>
              </a:cubicBezTo>
              <a:cubicBezTo>
                <a:pt x="4845050" y="-17841"/>
                <a:pt x="4892675" y="10733"/>
                <a:pt x="4905375" y="9146"/>
              </a:cubicBezTo>
              <a:cubicBezTo>
                <a:pt x="4918075" y="7559"/>
                <a:pt x="4902200" y="8352"/>
                <a:pt x="4886325" y="9146"/>
              </a:cubicBezTo>
            </a:path>
          </a:pathLst>
        </a:custGeom>
        <a:noFill/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32</xdr:row>
      <xdr:rowOff>380</xdr:rowOff>
    </xdr:from>
    <xdr:to>
      <xdr:col>39</xdr:col>
      <xdr:colOff>33190</xdr:colOff>
      <xdr:row>34</xdr:row>
      <xdr:rowOff>9526</xdr:rowOff>
    </xdr:to>
    <xdr:sp macro="" textlink="">
      <xdr:nvSpPr>
        <xdr:cNvPr id="2" name="Free-form: Shape 1">
          <a:extLst>
            <a:ext uri="{FF2B5EF4-FFF2-40B4-BE49-F238E27FC236}">
              <a16:creationId xmlns:a16="http://schemas.microsoft.com/office/drawing/2014/main" id="{4B630301-6AEE-4054-873E-78F86413578B}"/>
            </a:ext>
          </a:extLst>
        </xdr:cNvPr>
        <xdr:cNvSpPr/>
      </xdr:nvSpPr>
      <xdr:spPr>
        <a:xfrm>
          <a:off x="1276350" y="6096380"/>
          <a:ext cx="5814865" cy="390146"/>
        </a:xfrm>
        <a:custGeom>
          <a:avLst/>
          <a:gdLst>
            <a:gd name="csX0" fmla="*/ 0 w 4909990"/>
            <a:gd name="csY0" fmla="*/ 9146 h 475958"/>
            <a:gd name="csX1" fmla="*/ 266700 w 4909990"/>
            <a:gd name="csY1" fmla="*/ 47246 h 475958"/>
            <a:gd name="csX2" fmla="*/ 381000 w 4909990"/>
            <a:gd name="csY2" fmla="*/ 190121 h 475958"/>
            <a:gd name="csX3" fmla="*/ 714375 w 4909990"/>
            <a:gd name="csY3" fmla="*/ 399671 h 475958"/>
            <a:gd name="csX4" fmla="*/ 1123950 w 4909990"/>
            <a:gd name="csY4" fmla="*/ 447296 h 475958"/>
            <a:gd name="csX5" fmla="*/ 1552575 w 4909990"/>
            <a:gd name="csY5" fmla="*/ 475871 h 475958"/>
            <a:gd name="csX6" fmla="*/ 2486025 w 4909990"/>
            <a:gd name="csY6" fmla="*/ 456821 h 475958"/>
            <a:gd name="csX7" fmla="*/ 3362325 w 4909990"/>
            <a:gd name="csY7" fmla="*/ 475871 h 475958"/>
            <a:gd name="csX8" fmla="*/ 4219575 w 4909990"/>
            <a:gd name="csY8" fmla="*/ 447296 h 475958"/>
            <a:gd name="csX9" fmla="*/ 4381500 w 4909990"/>
            <a:gd name="csY9" fmla="*/ 361571 h 475958"/>
            <a:gd name="csX10" fmla="*/ 4552950 w 4909990"/>
            <a:gd name="csY10" fmla="*/ 266321 h 475958"/>
            <a:gd name="csX11" fmla="*/ 4695825 w 4909990"/>
            <a:gd name="csY11" fmla="*/ 228221 h 475958"/>
            <a:gd name="csX12" fmla="*/ 4810125 w 4909990"/>
            <a:gd name="csY12" fmla="*/ 18671 h 475958"/>
            <a:gd name="csX13" fmla="*/ 4905375 w 4909990"/>
            <a:gd name="csY13" fmla="*/ 9146 h 475958"/>
            <a:gd name="csX14" fmla="*/ 4886325 w 4909990"/>
            <a:gd name="csY14" fmla="*/ 9146 h 47595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</a:cxnLst>
          <a:rect l="l" t="t" r="r" b="b"/>
          <a:pathLst>
            <a:path w="4909990" h="475958">
              <a:moveTo>
                <a:pt x="0" y="9146"/>
              </a:moveTo>
              <a:cubicBezTo>
                <a:pt x="101600" y="13115"/>
                <a:pt x="203200" y="17084"/>
                <a:pt x="266700" y="47246"/>
              </a:cubicBezTo>
              <a:cubicBezTo>
                <a:pt x="330200" y="77408"/>
                <a:pt x="306388" y="131384"/>
                <a:pt x="381000" y="190121"/>
              </a:cubicBezTo>
              <a:cubicBezTo>
                <a:pt x="455613" y="248859"/>
                <a:pt x="590550" y="356809"/>
                <a:pt x="714375" y="399671"/>
              </a:cubicBezTo>
              <a:cubicBezTo>
                <a:pt x="838200" y="442533"/>
                <a:pt x="984250" y="434596"/>
                <a:pt x="1123950" y="447296"/>
              </a:cubicBezTo>
              <a:cubicBezTo>
                <a:pt x="1263650" y="459996"/>
                <a:pt x="1325563" y="474284"/>
                <a:pt x="1552575" y="475871"/>
              </a:cubicBezTo>
              <a:cubicBezTo>
                <a:pt x="1779587" y="477458"/>
                <a:pt x="2184400" y="456821"/>
                <a:pt x="2486025" y="456821"/>
              </a:cubicBezTo>
              <a:cubicBezTo>
                <a:pt x="2787650" y="456821"/>
                <a:pt x="3073400" y="477459"/>
                <a:pt x="3362325" y="475871"/>
              </a:cubicBezTo>
              <a:cubicBezTo>
                <a:pt x="3651250" y="474284"/>
                <a:pt x="4049713" y="466346"/>
                <a:pt x="4219575" y="447296"/>
              </a:cubicBezTo>
              <a:cubicBezTo>
                <a:pt x="4389437" y="428246"/>
                <a:pt x="4325938" y="391733"/>
                <a:pt x="4381500" y="361571"/>
              </a:cubicBezTo>
              <a:cubicBezTo>
                <a:pt x="4437062" y="331409"/>
                <a:pt x="4500563" y="288546"/>
                <a:pt x="4552950" y="266321"/>
              </a:cubicBezTo>
              <a:cubicBezTo>
                <a:pt x="4605337" y="244096"/>
                <a:pt x="4652963" y="269496"/>
                <a:pt x="4695825" y="228221"/>
              </a:cubicBezTo>
              <a:cubicBezTo>
                <a:pt x="4738687" y="186946"/>
                <a:pt x="4775200" y="55183"/>
                <a:pt x="4810125" y="18671"/>
              </a:cubicBezTo>
              <a:cubicBezTo>
                <a:pt x="4845050" y="-17841"/>
                <a:pt x="4892675" y="10733"/>
                <a:pt x="4905375" y="9146"/>
              </a:cubicBezTo>
              <a:cubicBezTo>
                <a:pt x="4918075" y="7559"/>
                <a:pt x="4902200" y="8352"/>
                <a:pt x="4886325" y="9146"/>
              </a:cubicBezTo>
            </a:path>
          </a:pathLst>
        </a:custGeom>
        <a:noFill/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34</xdr:row>
      <xdr:rowOff>380</xdr:rowOff>
    </xdr:from>
    <xdr:to>
      <xdr:col>39</xdr:col>
      <xdr:colOff>33190</xdr:colOff>
      <xdr:row>36</xdr:row>
      <xdr:rowOff>9526</xdr:rowOff>
    </xdr:to>
    <xdr:sp macro="" textlink="">
      <xdr:nvSpPr>
        <xdr:cNvPr id="2" name="Free-form: Shape 1">
          <a:extLst>
            <a:ext uri="{FF2B5EF4-FFF2-40B4-BE49-F238E27FC236}">
              <a16:creationId xmlns:a16="http://schemas.microsoft.com/office/drawing/2014/main" id="{0DF997CD-1802-45B2-AC2D-739C75AFC4C5}"/>
            </a:ext>
          </a:extLst>
        </xdr:cNvPr>
        <xdr:cNvSpPr/>
      </xdr:nvSpPr>
      <xdr:spPr>
        <a:xfrm>
          <a:off x="1276350" y="6096380"/>
          <a:ext cx="5814865" cy="390146"/>
        </a:xfrm>
        <a:custGeom>
          <a:avLst/>
          <a:gdLst>
            <a:gd name="csX0" fmla="*/ 0 w 4909990"/>
            <a:gd name="csY0" fmla="*/ 9146 h 475958"/>
            <a:gd name="csX1" fmla="*/ 266700 w 4909990"/>
            <a:gd name="csY1" fmla="*/ 47246 h 475958"/>
            <a:gd name="csX2" fmla="*/ 381000 w 4909990"/>
            <a:gd name="csY2" fmla="*/ 190121 h 475958"/>
            <a:gd name="csX3" fmla="*/ 714375 w 4909990"/>
            <a:gd name="csY3" fmla="*/ 399671 h 475958"/>
            <a:gd name="csX4" fmla="*/ 1123950 w 4909990"/>
            <a:gd name="csY4" fmla="*/ 447296 h 475958"/>
            <a:gd name="csX5" fmla="*/ 1552575 w 4909990"/>
            <a:gd name="csY5" fmla="*/ 475871 h 475958"/>
            <a:gd name="csX6" fmla="*/ 2486025 w 4909990"/>
            <a:gd name="csY6" fmla="*/ 456821 h 475958"/>
            <a:gd name="csX7" fmla="*/ 3362325 w 4909990"/>
            <a:gd name="csY7" fmla="*/ 475871 h 475958"/>
            <a:gd name="csX8" fmla="*/ 4219575 w 4909990"/>
            <a:gd name="csY8" fmla="*/ 447296 h 475958"/>
            <a:gd name="csX9" fmla="*/ 4381500 w 4909990"/>
            <a:gd name="csY9" fmla="*/ 361571 h 475958"/>
            <a:gd name="csX10" fmla="*/ 4552950 w 4909990"/>
            <a:gd name="csY10" fmla="*/ 266321 h 475958"/>
            <a:gd name="csX11" fmla="*/ 4695825 w 4909990"/>
            <a:gd name="csY11" fmla="*/ 228221 h 475958"/>
            <a:gd name="csX12" fmla="*/ 4810125 w 4909990"/>
            <a:gd name="csY12" fmla="*/ 18671 h 475958"/>
            <a:gd name="csX13" fmla="*/ 4905375 w 4909990"/>
            <a:gd name="csY13" fmla="*/ 9146 h 475958"/>
            <a:gd name="csX14" fmla="*/ 4886325 w 4909990"/>
            <a:gd name="csY14" fmla="*/ 9146 h 47595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</a:cxnLst>
          <a:rect l="l" t="t" r="r" b="b"/>
          <a:pathLst>
            <a:path w="4909990" h="475958">
              <a:moveTo>
                <a:pt x="0" y="9146"/>
              </a:moveTo>
              <a:cubicBezTo>
                <a:pt x="101600" y="13115"/>
                <a:pt x="203200" y="17084"/>
                <a:pt x="266700" y="47246"/>
              </a:cubicBezTo>
              <a:cubicBezTo>
                <a:pt x="330200" y="77408"/>
                <a:pt x="306388" y="131384"/>
                <a:pt x="381000" y="190121"/>
              </a:cubicBezTo>
              <a:cubicBezTo>
                <a:pt x="455613" y="248859"/>
                <a:pt x="590550" y="356809"/>
                <a:pt x="714375" y="399671"/>
              </a:cubicBezTo>
              <a:cubicBezTo>
                <a:pt x="838200" y="442533"/>
                <a:pt x="984250" y="434596"/>
                <a:pt x="1123950" y="447296"/>
              </a:cubicBezTo>
              <a:cubicBezTo>
                <a:pt x="1263650" y="459996"/>
                <a:pt x="1325563" y="474284"/>
                <a:pt x="1552575" y="475871"/>
              </a:cubicBezTo>
              <a:cubicBezTo>
                <a:pt x="1779587" y="477458"/>
                <a:pt x="2184400" y="456821"/>
                <a:pt x="2486025" y="456821"/>
              </a:cubicBezTo>
              <a:cubicBezTo>
                <a:pt x="2787650" y="456821"/>
                <a:pt x="3073400" y="477459"/>
                <a:pt x="3362325" y="475871"/>
              </a:cubicBezTo>
              <a:cubicBezTo>
                <a:pt x="3651250" y="474284"/>
                <a:pt x="4049713" y="466346"/>
                <a:pt x="4219575" y="447296"/>
              </a:cubicBezTo>
              <a:cubicBezTo>
                <a:pt x="4389437" y="428246"/>
                <a:pt x="4325938" y="391733"/>
                <a:pt x="4381500" y="361571"/>
              </a:cubicBezTo>
              <a:cubicBezTo>
                <a:pt x="4437062" y="331409"/>
                <a:pt x="4500563" y="288546"/>
                <a:pt x="4552950" y="266321"/>
              </a:cubicBezTo>
              <a:cubicBezTo>
                <a:pt x="4605337" y="244096"/>
                <a:pt x="4652963" y="269496"/>
                <a:pt x="4695825" y="228221"/>
              </a:cubicBezTo>
              <a:cubicBezTo>
                <a:pt x="4738687" y="186946"/>
                <a:pt x="4775200" y="55183"/>
                <a:pt x="4810125" y="18671"/>
              </a:cubicBezTo>
              <a:cubicBezTo>
                <a:pt x="4845050" y="-17841"/>
                <a:pt x="4892675" y="10733"/>
                <a:pt x="4905375" y="9146"/>
              </a:cubicBezTo>
              <a:cubicBezTo>
                <a:pt x="4918075" y="7559"/>
                <a:pt x="4902200" y="8352"/>
                <a:pt x="4886325" y="9146"/>
              </a:cubicBezTo>
            </a:path>
          </a:pathLst>
        </a:custGeom>
        <a:noFill/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29</xdr:row>
      <xdr:rowOff>380</xdr:rowOff>
    </xdr:from>
    <xdr:to>
      <xdr:col>38</xdr:col>
      <xdr:colOff>33190</xdr:colOff>
      <xdr:row>31</xdr:row>
      <xdr:rowOff>104776</xdr:rowOff>
    </xdr:to>
    <xdr:sp macro="" textlink="">
      <xdr:nvSpPr>
        <xdr:cNvPr id="2" name="Free-form: Shape 1">
          <a:extLst>
            <a:ext uri="{FF2B5EF4-FFF2-40B4-BE49-F238E27FC236}">
              <a16:creationId xmlns:a16="http://schemas.microsoft.com/office/drawing/2014/main" id="{10F82246-A72C-4E54-BD65-04EA8F8FC9C8}"/>
            </a:ext>
          </a:extLst>
        </xdr:cNvPr>
        <xdr:cNvSpPr/>
      </xdr:nvSpPr>
      <xdr:spPr>
        <a:xfrm>
          <a:off x="1276350" y="5524880"/>
          <a:ext cx="5633890" cy="485396"/>
        </a:xfrm>
        <a:custGeom>
          <a:avLst/>
          <a:gdLst>
            <a:gd name="csX0" fmla="*/ 0 w 4909990"/>
            <a:gd name="csY0" fmla="*/ 9146 h 475958"/>
            <a:gd name="csX1" fmla="*/ 266700 w 4909990"/>
            <a:gd name="csY1" fmla="*/ 47246 h 475958"/>
            <a:gd name="csX2" fmla="*/ 381000 w 4909990"/>
            <a:gd name="csY2" fmla="*/ 190121 h 475958"/>
            <a:gd name="csX3" fmla="*/ 714375 w 4909990"/>
            <a:gd name="csY3" fmla="*/ 399671 h 475958"/>
            <a:gd name="csX4" fmla="*/ 1123950 w 4909990"/>
            <a:gd name="csY4" fmla="*/ 447296 h 475958"/>
            <a:gd name="csX5" fmla="*/ 1552575 w 4909990"/>
            <a:gd name="csY5" fmla="*/ 475871 h 475958"/>
            <a:gd name="csX6" fmla="*/ 2486025 w 4909990"/>
            <a:gd name="csY6" fmla="*/ 456821 h 475958"/>
            <a:gd name="csX7" fmla="*/ 3362325 w 4909990"/>
            <a:gd name="csY7" fmla="*/ 475871 h 475958"/>
            <a:gd name="csX8" fmla="*/ 4219575 w 4909990"/>
            <a:gd name="csY8" fmla="*/ 447296 h 475958"/>
            <a:gd name="csX9" fmla="*/ 4381500 w 4909990"/>
            <a:gd name="csY9" fmla="*/ 361571 h 475958"/>
            <a:gd name="csX10" fmla="*/ 4552950 w 4909990"/>
            <a:gd name="csY10" fmla="*/ 266321 h 475958"/>
            <a:gd name="csX11" fmla="*/ 4695825 w 4909990"/>
            <a:gd name="csY11" fmla="*/ 228221 h 475958"/>
            <a:gd name="csX12" fmla="*/ 4810125 w 4909990"/>
            <a:gd name="csY12" fmla="*/ 18671 h 475958"/>
            <a:gd name="csX13" fmla="*/ 4905375 w 4909990"/>
            <a:gd name="csY13" fmla="*/ 9146 h 475958"/>
            <a:gd name="csX14" fmla="*/ 4886325 w 4909990"/>
            <a:gd name="csY14" fmla="*/ 9146 h 47595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</a:cxnLst>
          <a:rect l="l" t="t" r="r" b="b"/>
          <a:pathLst>
            <a:path w="4909990" h="475958">
              <a:moveTo>
                <a:pt x="0" y="9146"/>
              </a:moveTo>
              <a:cubicBezTo>
                <a:pt x="101600" y="13115"/>
                <a:pt x="203200" y="17084"/>
                <a:pt x="266700" y="47246"/>
              </a:cubicBezTo>
              <a:cubicBezTo>
                <a:pt x="330200" y="77408"/>
                <a:pt x="306388" y="131384"/>
                <a:pt x="381000" y="190121"/>
              </a:cubicBezTo>
              <a:cubicBezTo>
                <a:pt x="455613" y="248859"/>
                <a:pt x="590550" y="356809"/>
                <a:pt x="714375" y="399671"/>
              </a:cubicBezTo>
              <a:cubicBezTo>
                <a:pt x="838200" y="442533"/>
                <a:pt x="984250" y="434596"/>
                <a:pt x="1123950" y="447296"/>
              </a:cubicBezTo>
              <a:cubicBezTo>
                <a:pt x="1263650" y="459996"/>
                <a:pt x="1325563" y="474284"/>
                <a:pt x="1552575" y="475871"/>
              </a:cubicBezTo>
              <a:cubicBezTo>
                <a:pt x="1779587" y="477458"/>
                <a:pt x="2184400" y="456821"/>
                <a:pt x="2486025" y="456821"/>
              </a:cubicBezTo>
              <a:cubicBezTo>
                <a:pt x="2787650" y="456821"/>
                <a:pt x="3073400" y="477459"/>
                <a:pt x="3362325" y="475871"/>
              </a:cubicBezTo>
              <a:cubicBezTo>
                <a:pt x="3651250" y="474284"/>
                <a:pt x="4049713" y="466346"/>
                <a:pt x="4219575" y="447296"/>
              </a:cubicBezTo>
              <a:cubicBezTo>
                <a:pt x="4389437" y="428246"/>
                <a:pt x="4325938" y="391733"/>
                <a:pt x="4381500" y="361571"/>
              </a:cubicBezTo>
              <a:cubicBezTo>
                <a:pt x="4437062" y="331409"/>
                <a:pt x="4500563" y="288546"/>
                <a:pt x="4552950" y="266321"/>
              </a:cubicBezTo>
              <a:cubicBezTo>
                <a:pt x="4605337" y="244096"/>
                <a:pt x="4652963" y="269496"/>
                <a:pt x="4695825" y="228221"/>
              </a:cubicBezTo>
              <a:cubicBezTo>
                <a:pt x="4738687" y="186946"/>
                <a:pt x="4775200" y="55183"/>
                <a:pt x="4810125" y="18671"/>
              </a:cubicBezTo>
              <a:cubicBezTo>
                <a:pt x="4845050" y="-17841"/>
                <a:pt x="4892675" y="10733"/>
                <a:pt x="4905375" y="9146"/>
              </a:cubicBezTo>
              <a:cubicBezTo>
                <a:pt x="4918075" y="7559"/>
                <a:pt x="4902200" y="8352"/>
                <a:pt x="4886325" y="9146"/>
              </a:cubicBezTo>
            </a:path>
          </a:pathLst>
        </a:custGeom>
        <a:noFill/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32</xdr:row>
      <xdr:rowOff>380</xdr:rowOff>
    </xdr:from>
    <xdr:to>
      <xdr:col>39</xdr:col>
      <xdr:colOff>33190</xdr:colOff>
      <xdr:row>34</xdr:row>
      <xdr:rowOff>9526</xdr:rowOff>
    </xdr:to>
    <xdr:sp macro="" textlink="">
      <xdr:nvSpPr>
        <xdr:cNvPr id="2" name="Free-form: Shape 1">
          <a:extLst>
            <a:ext uri="{FF2B5EF4-FFF2-40B4-BE49-F238E27FC236}">
              <a16:creationId xmlns:a16="http://schemas.microsoft.com/office/drawing/2014/main" id="{B3D552E5-5C31-4921-8105-C49DF5AA6331}"/>
            </a:ext>
          </a:extLst>
        </xdr:cNvPr>
        <xdr:cNvSpPr/>
      </xdr:nvSpPr>
      <xdr:spPr>
        <a:xfrm>
          <a:off x="1276350" y="6096380"/>
          <a:ext cx="5814865" cy="390146"/>
        </a:xfrm>
        <a:custGeom>
          <a:avLst/>
          <a:gdLst>
            <a:gd name="csX0" fmla="*/ 0 w 4909990"/>
            <a:gd name="csY0" fmla="*/ 9146 h 475958"/>
            <a:gd name="csX1" fmla="*/ 266700 w 4909990"/>
            <a:gd name="csY1" fmla="*/ 47246 h 475958"/>
            <a:gd name="csX2" fmla="*/ 381000 w 4909990"/>
            <a:gd name="csY2" fmla="*/ 190121 h 475958"/>
            <a:gd name="csX3" fmla="*/ 714375 w 4909990"/>
            <a:gd name="csY3" fmla="*/ 399671 h 475958"/>
            <a:gd name="csX4" fmla="*/ 1123950 w 4909990"/>
            <a:gd name="csY4" fmla="*/ 447296 h 475958"/>
            <a:gd name="csX5" fmla="*/ 1552575 w 4909990"/>
            <a:gd name="csY5" fmla="*/ 475871 h 475958"/>
            <a:gd name="csX6" fmla="*/ 2486025 w 4909990"/>
            <a:gd name="csY6" fmla="*/ 456821 h 475958"/>
            <a:gd name="csX7" fmla="*/ 3362325 w 4909990"/>
            <a:gd name="csY7" fmla="*/ 475871 h 475958"/>
            <a:gd name="csX8" fmla="*/ 4219575 w 4909990"/>
            <a:gd name="csY8" fmla="*/ 447296 h 475958"/>
            <a:gd name="csX9" fmla="*/ 4381500 w 4909990"/>
            <a:gd name="csY9" fmla="*/ 361571 h 475958"/>
            <a:gd name="csX10" fmla="*/ 4552950 w 4909990"/>
            <a:gd name="csY10" fmla="*/ 266321 h 475958"/>
            <a:gd name="csX11" fmla="*/ 4695825 w 4909990"/>
            <a:gd name="csY11" fmla="*/ 228221 h 475958"/>
            <a:gd name="csX12" fmla="*/ 4810125 w 4909990"/>
            <a:gd name="csY12" fmla="*/ 18671 h 475958"/>
            <a:gd name="csX13" fmla="*/ 4905375 w 4909990"/>
            <a:gd name="csY13" fmla="*/ 9146 h 475958"/>
            <a:gd name="csX14" fmla="*/ 4886325 w 4909990"/>
            <a:gd name="csY14" fmla="*/ 9146 h 47595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</a:cxnLst>
          <a:rect l="l" t="t" r="r" b="b"/>
          <a:pathLst>
            <a:path w="4909990" h="475958">
              <a:moveTo>
                <a:pt x="0" y="9146"/>
              </a:moveTo>
              <a:cubicBezTo>
                <a:pt x="101600" y="13115"/>
                <a:pt x="203200" y="17084"/>
                <a:pt x="266700" y="47246"/>
              </a:cubicBezTo>
              <a:cubicBezTo>
                <a:pt x="330200" y="77408"/>
                <a:pt x="306388" y="131384"/>
                <a:pt x="381000" y="190121"/>
              </a:cubicBezTo>
              <a:cubicBezTo>
                <a:pt x="455613" y="248859"/>
                <a:pt x="590550" y="356809"/>
                <a:pt x="714375" y="399671"/>
              </a:cubicBezTo>
              <a:cubicBezTo>
                <a:pt x="838200" y="442533"/>
                <a:pt x="984250" y="434596"/>
                <a:pt x="1123950" y="447296"/>
              </a:cubicBezTo>
              <a:cubicBezTo>
                <a:pt x="1263650" y="459996"/>
                <a:pt x="1325563" y="474284"/>
                <a:pt x="1552575" y="475871"/>
              </a:cubicBezTo>
              <a:cubicBezTo>
                <a:pt x="1779587" y="477458"/>
                <a:pt x="2184400" y="456821"/>
                <a:pt x="2486025" y="456821"/>
              </a:cubicBezTo>
              <a:cubicBezTo>
                <a:pt x="2787650" y="456821"/>
                <a:pt x="3073400" y="477459"/>
                <a:pt x="3362325" y="475871"/>
              </a:cubicBezTo>
              <a:cubicBezTo>
                <a:pt x="3651250" y="474284"/>
                <a:pt x="4049713" y="466346"/>
                <a:pt x="4219575" y="447296"/>
              </a:cubicBezTo>
              <a:cubicBezTo>
                <a:pt x="4389437" y="428246"/>
                <a:pt x="4325938" y="391733"/>
                <a:pt x="4381500" y="361571"/>
              </a:cubicBezTo>
              <a:cubicBezTo>
                <a:pt x="4437062" y="331409"/>
                <a:pt x="4500563" y="288546"/>
                <a:pt x="4552950" y="266321"/>
              </a:cubicBezTo>
              <a:cubicBezTo>
                <a:pt x="4605337" y="244096"/>
                <a:pt x="4652963" y="269496"/>
                <a:pt x="4695825" y="228221"/>
              </a:cubicBezTo>
              <a:cubicBezTo>
                <a:pt x="4738687" y="186946"/>
                <a:pt x="4775200" y="55183"/>
                <a:pt x="4810125" y="18671"/>
              </a:cubicBezTo>
              <a:cubicBezTo>
                <a:pt x="4845050" y="-17841"/>
                <a:pt x="4892675" y="10733"/>
                <a:pt x="4905375" y="9146"/>
              </a:cubicBezTo>
              <a:cubicBezTo>
                <a:pt x="4918075" y="7559"/>
                <a:pt x="4902200" y="8352"/>
                <a:pt x="4886325" y="9146"/>
              </a:cubicBezTo>
            </a:path>
          </a:pathLst>
        </a:custGeom>
        <a:noFill/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</xdr:colOff>
      <xdr:row>25</xdr:row>
      <xdr:rowOff>0</xdr:rowOff>
    </xdr:from>
    <xdr:to>
      <xdr:col>68</xdr:col>
      <xdr:colOff>28575</xdr:colOff>
      <xdr:row>30</xdr:row>
      <xdr:rowOff>66675</xdr:rowOff>
    </xdr:to>
    <xdr:sp macro="" textlink="">
      <xdr:nvSpPr>
        <xdr:cNvPr id="2" name="Free-form: Shape 1">
          <a:extLst>
            <a:ext uri="{FF2B5EF4-FFF2-40B4-BE49-F238E27FC236}">
              <a16:creationId xmlns:a16="http://schemas.microsoft.com/office/drawing/2014/main" id="{8D3DCB12-CABD-494A-99EF-3FDF1CFC0CEA}"/>
            </a:ext>
          </a:extLst>
        </xdr:cNvPr>
        <xdr:cNvSpPr/>
      </xdr:nvSpPr>
      <xdr:spPr>
        <a:xfrm>
          <a:off x="1466850" y="5334000"/>
          <a:ext cx="9963150" cy="1019175"/>
        </a:xfrm>
        <a:custGeom>
          <a:avLst/>
          <a:gdLst>
            <a:gd name="csX0" fmla="*/ 0 w 10868025"/>
            <a:gd name="csY0" fmla="*/ 9525 h 955626"/>
            <a:gd name="csX1" fmla="*/ 238125 w 10868025"/>
            <a:gd name="csY1" fmla="*/ 219075 h 955626"/>
            <a:gd name="csX2" fmla="*/ 476250 w 10868025"/>
            <a:gd name="csY2" fmla="*/ 304800 h 955626"/>
            <a:gd name="csX3" fmla="*/ 628650 w 10868025"/>
            <a:gd name="csY3" fmla="*/ 438150 h 955626"/>
            <a:gd name="csX4" fmla="*/ 952500 w 10868025"/>
            <a:gd name="csY4" fmla="*/ 485775 h 955626"/>
            <a:gd name="csX5" fmla="*/ 1371600 w 10868025"/>
            <a:gd name="csY5" fmla="*/ 552450 h 955626"/>
            <a:gd name="csX6" fmla="*/ 1600200 w 10868025"/>
            <a:gd name="csY6" fmla="*/ 742950 h 955626"/>
            <a:gd name="csX7" fmla="*/ 1971675 w 10868025"/>
            <a:gd name="csY7" fmla="*/ 838200 h 955626"/>
            <a:gd name="csX8" fmla="*/ 2600325 w 10868025"/>
            <a:gd name="csY8" fmla="*/ 923925 h 955626"/>
            <a:gd name="csX9" fmla="*/ 3686175 w 10868025"/>
            <a:gd name="csY9" fmla="*/ 952500 h 955626"/>
            <a:gd name="csX10" fmla="*/ 4648200 w 10868025"/>
            <a:gd name="csY10" fmla="*/ 857250 h 955626"/>
            <a:gd name="csX11" fmla="*/ 6562725 w 10868025"/>
            <a:gd name="csY11" fmla="*/ 942975 h 955626"/>
            <a:gd name="csX12" fmla="*/ 7934325 w 10868025"/>
            <a:gd name="csY12" fmla="*/ 876300 h 955626"/>
            <a:gd name="csX13" fmla="*/ 9420225 w 10868025"/>
            <a:gd name="csY13" fmla="*/ 838200 h 955626"/>
            <a:gd name="csX14" fmla="*/ 9820275 w 10868025"/>
            <a:gd name="csY14" fmla="*/ 581025 h 955626"/>
            <a:gd name="csX15" fmla="*/ 10153650 w 10868025"/>
            <a:gd name="csY15" fmla="*/ 409575 h 955626"/>
            <a:gd name="csX16" fmla="*/ 10487025 w 10868025"/>
            <a:gd name="csY16" fmla="*/ 200025 h 955626"/>
            <a:gd name="csX17" fmla="*/ 10868025 w 10868025"/>
            <a:gd name="csY17" fmla="*/ 0 h 955626"/>
            <a:gd name="csX18" fmla="*/ 10868025 w 10868025"/>
            <a:gd name="csY18" fmla="*/ 0 h 955626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</a:cxnLst>
          <a:rect l="l" t="t" r="r" b="b"/>
          <a:pathLst>
            <a:path w="10868025" h="955626">
              <a:moveTo>
                <a:pt x="0" y="9525"/>
              </a:moveTo>
              <a:cubicBezTo>
                <a:pt x="79375" y="89694"/>
                <a:pt x="158750" y="169863"/>
                <a:pt x="238125" y="219075"/>
              </a:cubicBezTo>
              <a:cubicBezTo>
                <a:pt x="317500" y="268287"/>
                <a:pt x="411162" y="268287"/>
                <a:pt x="476250" y="304800"/>
              </a:cubicBezTo>
              <a:cubicBezTo>
                <a:pt x="541338" y="341313"/>
                <a:pt x="549275" y="407988"/>
                <a:pt x="628650" y="438150"/>
              </a:cubicBezTo>
              <a:cubicBezTo>
                <a:pt x="708025" y="468313"/>
                <a:pt x="952500" y="485775"/>
                <a:pt x="952500" y="485775"/>
              </a:cubicBezTo>
              <a:cubicBezTo>
                <a:pt x="1076325" y="504825"/>
                <a:pt x="1263650" y="509588"/>
                <a:pt x="1371600" y="552450"/>
              </a:cubicBezTo>
              <a:cubicBezTo>
                <a:pt x="1479550" y="595313"/>
                <a:pt x="1500188" y="695325"/>
                <a:pt x="1600200" y="742950"/>
              </a:cubicBezTo>
              <a:cubicBezTo>
                <a:pt x="1700212" y="790575"/>
                <a:pt x="1804988" y="808038"/>
                <a:pt x="1971675" y="838200"/>
              </a:cubicBezTo>
              <a:cubicBezTo>
                <a:pt x="2138363" y="868363"/>
                <a:pt x="2314575" y="904875"/>
                <a:pt x="2600325" y="923925"/>
              </a:cubicBezTo>
              <a:cubicBezTo>
                <a:pt x="2886075" y="942975"/>
                <a:pt x="3344862" y="963613"/>
                <a:pt x="3686175" y="952500"/>
              </a:cubicBezTo>
              <a:cubicBezTo>
                <a:pt x="4027488" y="941387"/>
                <a:pt x="4168775" y="858838"/>
                <a:pt x="4648200" y="857250"/>
              </a:cubicBezTo>
              <a:cubicBezTo>
                <a:pt x="5127625" y="855662"/>
                <a:pt x="6015038" y="939800"/>
                <a:pt x="6562725" y="942975"/>
              </a:cubicBezTo>
              <a:cubicBezTo>
                <a:pt x="7110412" y="946150"/>
                <a:pt x="7458075" y="893762"/>
                <a:pt x="7934325" y="876300"/>
              </a:cubicBezTo>
              <a:cubicBezTo>
                <a:pt x="8410575" y="858838"/>
                <a:pt x="9105900" y="887412"/>
                <a:pt x="9420225" y="838200"/>
              </a:cubicBezTo>
              <a:cubicBezTo>
                <a:pt x="9734550" y="788988"/>
                <a:pt x="9698038" y="652462"/>
                <a:pt x="9820275" y="581025"/>
              </a:cubicBezTo>
              <a:cubicBezTo>
                <a:pt x="9942512" y="509588"/>
                <a:pt x="10042525" y="473075"/>
                <a:pt x="10153650" y="409575"/>
              </a:cubicBezTo>
              <a:cubicBezTo>
                <a:pt x="10264775" y="346075"/>
                <a:pt x="10367963" y="268287"/>
                <a:pt x="10487025" y="200025"/>
              </a:cubicBezTo>
              <a:cubicBezTo>
                <a:pt x="10606087" y="131763"/>
                <a:pt x="10868025" y="0"/>
                <a:pt x="10868025" y="0"/>
              </a:cubicBezTo>
              <a:lnTo>
                <a:pt x="10868025" y="0"/>
              </a:lnTo>
            </a:path>
          </a:pathLst>
        </a:custGeom>
        <a:noFill/>
        <a:ln>
          <a:prstDash val="dash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33</xdr:row>
      <xdr:rowOff>379</xdr:rowOff>
    </xdr:from>
    <xdr:to>
      <xdr:col>34</xdr:col>
      <xdr:colOff>33190</xdr:colOff>
      <xdr:row>35</xdr:row>
      <xdr:rowOff>142874</xdr:rowOff>
    </xdr:to>
    <xdr:sp macro="" textlink="">
      <xdr:nvSpPr>
        <xdr:cNvPr id="2" name="Free-form: Shape 1">
          <a:extLst>
            <a:ext uri="{FF2B5EF4-FFF2-40B4-BE49-F238E27FC236}">
              <a16:creationId xmlns:a16="http://schemas.microsoft.com/office/drawing/2014/main" id="{1A48EA90-6D2D-4864-9A1A-B6EF407E5B9A}"/>
            </a:ext>
          </a:extLst>
        </xdr:cNvPr>
        <xdr:cNvSpPr/>
      </xdr:nvSpPr>
      <xdr:spPr>
        <a:xfrm>
          <a:off x="1276350" y="6286879"/>
          <a:ext cx="6357790" cy="523495"/>
        </a:xfrm>
        <a:custGeom>
          <a:avLst/>
          <a:gdLst>
            <a:gd name="csX0" fmla="*/ 0 w 4909990"/>
            <a:gd name="csY0" fmla="*/ 9146 h 475958"/>
            <a:gd name="csX1" fmla="*/ 266700 w 4909990"/>
            <a:gd name="csY1" fmla="*/ 47246 h 475958"/>
            <a:gd name="csX2" fmla="*/ 381000 w 4909990"/>
            <a:gd name="csY2" fmla="*/ 190121 h 475958"/>
            <a:gd name="csX3" fmla="*/ 714375 w 4909990"/>
            <a:gd name="csY3" fmla="*/ 399671 h 475958"/>
            <a:gd name="csX4" fmla="*/ 1123950 w 4909990"/>
            <a:gd name="csY4" fmla="*/ 447296 h 475958"/>
            <a:gd name="csX5" fmla="*/ 1552575 w 4909990"/>
            <a:gd name="csY5" fmla="*/ 475871 h 475958"/>
            <a:gd name="csX6" fmla="*/ 2486025 w 4909990"/>
            <a:gd name="csY6" fmla="*/ 456821 h 475958"/>
            <a:gd name="csX7" fmla="*/ 3362325 w 4909990"/>
            <a:gd name="csY7" fmla="*/ 475871 h 475958"/>
            <a:gd name="csX8" fmla="*/ 4219575 w 4909990"/>
            <a:gd name="csY8" fmla="*/ 447296 h 475958"/>
            <a:gd name="csX9" fmla="*/ 4381500 w 4909990"/>
            <a:gd name="csY9" fmla="*/ 361571 h 475958"/>
            <a:gd name="csX10" fmla="*/ 4552950 w 4909990"/>
            <a:gd name="csY10" fmla="*/ 266321 h 475958"/>
            <a:gd name="csX11" fmla="*/ 4695825 w 4909990"/>
            <a:gd name="csY11" fmla="*/ 228221 h 475958"/>
            <a:gd name="csX12" fmla="*/ 4810125 w 4909990"/>
            <a:gd name="csY12" fmla="*/ 18671 h 475958"/>
            <a:gd name="csX13" fmla="*/ 4905375 w 4909990"/>
            <a:gd name="csY13" fmla="*/ 9146 h 475958"/>
            <a:gd name="csX14" fmla="*/ 4886325 w 4909990"/>
            <a:gd name="csY14" fmla="*/ 9146 h 47595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</a:cxnLst>
          <a:rect l="l" t="t" r="r" b="b"/>
          <a:pathLst>
            <a:path w="4909990" h="475958">
              <a:moveTo>
                <a:pt x="0" y="9146"/>
              </a:moveTo>
              <a:cubicBezTo>
                <a:pt x="101600" y="13115"/>
                <a:pt x="203200" y="17084"/>
                <a:pt x="266700" y="47246"/>
              </a:cubicBezTo>
              <a:cubicBezTo>
                <a:pt x="330200" y="77408"/>
                <a:pt x="306388" y="131384"/>
                <a:pt x="381000" y="190121"/>
              </a:cubicBezTo>
              <a:cubicBezTo>
                <a:pt x="455613" y="248859"/>
                <a:pt x="590550" y="356809"/>
                <a:pt x="714375" y="399671"/>
              </a:cubicBezTo>
              <a:cubicBezTo>
                <a:pt x="838200" y="442533"/>
                <a:pt x="984250" y="434596"/>
                <a:pt x="1123950" y="447296"/>
              </a:cubicBezTo>
              <a:cubicBezTo>
                <a:pt x="1263650" y="459996"/>
                <a:pt x="1325563" y="474284"/>
                <a:pt x="1552575" y="475871"/>
              </a:cubicBezTo>
              <a:cubicBezTo>
                <a:pt x="1779587" y="477458"/>
                <a:pt x="2184400" y="456821"/>
                <a:pt x="2486025" y="456821"/>
              </a:cubicBezTo>
              <a:cubicBezTo>
                <a:pt x="2787650" y="456821"/>
                <a:pt x="3073400" y="477459"/>
                <a:pt x="3362325" y="475871"/>
              </a:cubicBezTo>
              <a:cubicBezTo>
                <a:pt x="3651250" y="474284"/>
                <a:pt x="4049713" y="466346"/>
                <a:pt x="4219575" y="447296"/>
              </a:cubicBezTo>
              <a:cubicBezTo>
                <a:pt x="4389437" y="428246"/>
                <a:pt x="4325938" y="391733"/>
                <a:pt x="4381500" y="361571"/>
              </a:cubicBezTo>
              <a:cubicBezTo>
                <a:pt x="4437062" y="331409"/>
                <a:pt x="4500563" y="288546"/>
                <a:pt x="4552950" y="266321"/>
              </a:cubicBezTo>
              <a:cubicBezTo>
                <a:pt x="4605337" y="244096"/>
                <a:pt x="4652963" y="269496"/>
                <a:pt x="4695825" y="228221"/>
              </a:cubicBezTo>
              <a:cubicBezTo>
                <a:pt x="4738687" y="186946"/>
                <a:pt x="4775200" y="55183"/>
                <a:pt x="4810125" y="18671"/>
              </a:cubicBezTo>
              <a:cubicBezTo>
                <a:pt x="4845050" y="-17841"/>
                <a:pt x="4892675" y="10733"/>
                <a:pt x="4905375" y="9146"/>
              </a:cubicBezTo>
              <a:cubicBezTo>
                <a:pt x="4918075" y="7559"/>
                <a:pt x="4902200" y="8352"/>
                <a:pt x="4886325" y="9146"/>
              </a:cubicBezTo>
            </a:path>
          </a:pathLst>
        </a:custGeom>
        <a:noFill/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33</xdr:row>
      <xdr:rowOff>379</xdr:rowOff>
    </xdr:from>
    <xdr:to>
      <xdr:col>42</xdr:col>
      <xdr:colOff>33190</xdr:colOff>
      <xdr:row>35</xdr:row>
      <xdr:rowOff>142874</xdr:rowOff>
    </xdr:to>
    <xdr:sp macro="" textlink="">
      <xdr:nvSpPr>
        <xdr:cNvPr id="2" name="Free-form: Shape 1">
          <a:extLst>
            <a:ext uri="{FF2B5EF4-FFF2-40B4-BE49-F238E27FC236}">
              <a16:creationId xmlns:a16="http://schemas.microsoft.com/office/drawing/2014/main" id="{09BDFEA2-349D-4E70-8DBF-C459173B0109}"/>
            </a:ext>
          </a:extLst>
        </xdr:cNvPr>
        <xdr:cNvSpPr/>
      </xdr:nvSpPr>
      <xdr:spPr>
        <a:xfrm>
          <a:off x="1276350" y="6286879"/>
          <a:ext cx="6357790" cy="523495"/>
        </a:xfrm>
        <a:custGeom>
          <a:avLst/>
          <a:gdLst>
            <a:gd name="csX0" fmla="*/ 0 w 4909990"/>
            <a:gd name="csY0" fmla="*/ 9146 h 475958"/>
            <a:gd name="csX1" fmla="*/ 266700 w 4909990"/>
            <a:gd name="csY1" fmla="*/ 47246 h 475958"/>
            <a:gd name="csX2" fmla="*/ 381000 w 4909990"/>
            <a:gd name="csY2" fmla="*/ 190121 h 475958"/>
            <a:gd name="csX3" fmla="*/ 714375 w 4909990"/>
            <a:gd name="csY3" fmla="*/ 399671 h 475958"/>
            <a:gd name="csX4" fmla="*/ 1123950 w 4909990"/>
            <a:gd name="csY4" fmla="*/ 447296 h 475958"/>
            <a:gd name="csX5" fmla="*/ 1552575 w 4909990"/>
            <a:gd name="csY5" fmla="*/ 475871 h 475958"/>
            <a:gd name="csX6" fmla="*/ 2486025 w 4909990"/>
            <a:gd name="csY6" fmla="*/ 456821 h 475958"/>
            <a:gd name="csX7" fmla="*/ 3362325 w 4909990"/>
            <a:gd name="csY7" fmla="*/ 475871 h 475958"/>
            <a:gd name="csX8" fmla="*/ 4219575 w 4909990"/>
            <a:gd name="csY8" fmla="*/ 447296 h 475958"/>
            <a:gd name="csX9" fmla="*/ 4381500 w 4909990"/>
            <a:gd name="csY9" fmla="*/ 361571 h 475958"/>
            <a:gd name="csX10" fmla="*/ 4552950 w 4909990"/>
            <a:gd name="csY10" fmla="*/ 266321 h 475958"/>
            <a:gd name="csX11" fmla="*/ 4695825 w 4909990"/>
            <a:gd name="csY11" fmla="*/ 228221 h 475958"/>
            <a:gd name="csX12" fmla="*/ 4810125 w 4909990"/>
            <a:gd name="csY12" fmla="*/ 18671 h 475958"/>
            <a:gd name="csX13" fmla="*/ 4905375 w 4909990"/>
            <a:gd name="csY13" fmla="*/ 9146 h 475958"/>
            <a:gd name="csX14" fmla="*/ 4886325 w 4909990"/>
            <a:gd name="csY14" fmla="*/ 9146 h 47595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</a:cxnLst>
          <a:rect l="l" t="t" r="r" b="b"/>
          <a:pathLst>
            <a:path w="4909990" h="475958">
              <a:moveTo>
                <a:pt x="0" y="9146"/>
              </a:moveTo>
              <a:cubicBezTo>
                <a:pt x="101600" y="13115"/>
                <a:pt x="203200" y="17084"/>
                <a:pt x="266700" y="47246"/>
              </a:cubicBezTo>
              <a:cubicBezTo>
                <a:pt x="330200" y="77408"/>
                <a:pt x="306388" y="131384"/>
                <a:pt x="381000" y="190121"/>
              </a:cubicBezTo>
              <a:cubicBezTo>
                <a:pt x="455613" y="248859"/>
                <a:pt x="590550" y="356809"/>
                <a:pt x="714375" y="399671"/>
              </a:cubicBezTo>
              <a:cubicBezTo>
                <a:pt x="838200" y="442533"/>
                <a:pt x="984250" y="434596"/>
                <a:pt x="1123950" y="447296"/>
              </a:cubicBezTo>
              <a:cubicBezTo>
                <a:pt x="1263650" y="459996"/>
                <a:pt x="1325563" y="474284"/>
                <a:pt x="1552575" y="475871"/>
              </a:cubicBezTo>
              <a:cubicBezTo>
                <a:pt x="1779587" y="477458"/>
                <a:pt x="2184400" y="456821"/>
                <a:pt x="2486025" y="456821"/>
              </a:cubicBezTo>
              <a:cubicBezTo>
                <a:pt x="2787650" y="456821"/>
                <a:pt x="3073400" y="477459"/>
                <a:pt x="3362325" y="475871"/>
              </a:cubicBezTo>
              <a:cubicBezTo>
                <a:pt x="3651250" y="474284"/>
                <a:pt x="4049713" y="466346"/>
                <a:pt x="4219575" y="447296"/>
              </a:cubicBezTo>
              <a:cubicBezTo>
                <a:pt x="4389437" y="428246"/>
                <a:pt x="4325938" y="391733"/>
                <a:pt x="4381500" y="361571"/>
              </a:cubicBezTo>
              <a:cubicBezTo>
                <a:pt x="4437062" y="331409"/>
                <a:pt x="4500563" y="288546"/>
                <a:pt x="4552950" y="266321"/>
              </a:cubicBezTo>
              <a:cubicBezTo>
                <a:pt x="4605337" y="244096"/>
                <a:pt x="4652963" y="269496"/>
                <a:pt x="4695825" y="228221"/>
              </a:cubicBezTo>
              <a:cubicBezTo>
                <a:pt x="4738687" y="186946"/>
                <a:pt x="4775200" y="55183"/>
                <a:pt x="4810125" y="18671"/>
              </a:cubicBezTo>
              <a:cubicBezTo>
                <a:pt x="4845050" y="-17841"/>
                <a:pt x="4892675" y="10733"/>
                <a:pt x="4905375" y="9146"/>
              </a:cubicBezTo>
              <a:cubicBezTo>
                <a:pt x="4918075" y="7559"/>
                <a:pt x="4902200" y="8352"/>
                <a:pt x="4886325" y="9146"/>
              </a:cubicBezTo>
            </a:path>
          </a:pathLst>
        </a:custGeom>
        <a:noFill/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29</xdr:row>
      <xdr:rowOff>379</xdr:rowOff>
    </xdr:from>
    <xdr:to>
      <xdr:col>44</xdr:col>
      <xdr:colOff>33190</xdr:colOff>
      <xdr:row>32</xdr:row>
      <xdr:rowOff>152400</xdr:rowOff>
    </xdr:to>
    <xdr:sp macro="" textlink="">
      <xdr:nvSpPr>
        <xdr:cNvPr id="3" name="Free-form: Shape 2">
          <a:extLst>
            <a:ext uri="{FF2B5EF4-FFF2-40B4-BE49-F238E27FC236}">
              <a16:creationId xmlns:a16="http://schemas.microsoft.com/office/drawing/2014/main" id="{90A660D0-2AF3-4563-A490-C2F0FB93F70E}"/>
            </a:ext>
          </a:extLst>
        </xdr:cNvPr>
        <xdr:cNvSpPr/>
      </xdr:nvSpPr>
      <xdr:spPr>
        <a:xfrm>
          <a:off x="1276350" y="5524879"/>
          <a:ext cx="6719740" cy="723521"/>
        </a:xfrm>
        <a:custGeom>
          <a:avLst/>
          <a:gdLst>
            <a:gd name="csX0" fmla="*/ 0 w 4909990"/>
            <a:gd name="csY0" fmla="*/ 9146 h 475958"/>
            <a:gd name="csX1" fmla="*/ 266700 w 4909990"/>
            <a:gd name="csY1" fmla="*/ 47246 h 475958"/>
            <a:gd name="csX2" fmla="*/ 381000 w 4909990"/>
            <a:gd name="csY2" fmla="*/ 190121 h 475958"/>
            <a:gd name="csX3" fmla="*/ 714375 w 4909990"/>
            <a:gd name="csY3" fmla="*/ 399671 h 475958"/>
            <a:gd name="csX4" fmla="*/ 1123950 w 4909990"/>
            <a:gd name="csY4" fmla="*/ 447296 h 475958"/>
            <a:gd name="csX5" fmla="*/ 1552575 w 4909990"/>
            <a:gd name="csY5" fmla="*/ 475871 h 475958"/>
            <a:gd name="csX6" fmla="*/ 2486025 w 4909990"/>
            <a:gd name="csY6" fmla="*/ 456821 h 475958"/>
            <a:gd name="csX7" fmla="*/ 3362325 w 4909990"/>
            <a:gd name="csY7" fmla="*/ 475871 h 475958"/>
            <a:gd name="csX8" fmla="*/ 4219575 w 4909990"/>
            <a:gd name="csY8" fmla="*/ 447296 h 475958"/>
            <a:gd name="csX9" fmla="*/ 4381500 w 4909990"/>
            <a:gd name="csY9" fmla="*/ 361571 h 475958"/>
            <a:gd name="csX10" fmla="*/ 4552950 w 4909990"/>
            <a:gd name="csY10" fmla="*/ 266321 h 475958"/>
            <a:gd name="csX11" fmla="*/ 4695825 w 4909990"/>
            <a:gd name="csY11" fmla="*/ 228221 h 475958"/>
            <a:gd name="csX12" fmla="*/ 4810125 w 4909990"/>
            <a:gd name="csY12" fmla="*/ 18671 h 475958"/>
            <a:gd name="csX13" fmla="*/ 4905375 w 4909990"/>
            <a:gd name="csY13" fmla="*/ 9146 h 475958"/>
            <a:gd name="csX14" fmla="*/ 4886325 w 4909990"/>
            <a:gd name="csY14" fmla="*/ 9146 h 47595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</a:cxnLst>
          <a:rect l="l" t="t" r="r" b="b"/>
          <a:pathLst>
            <a:path w="4909990" h="475958">
              <a:moveTo>
                <a:pt x="0" y="9146"/>
              </a:moveTo>
              <a:cubicBezTo>
                <a:pt x="101600" y="13115"/>
                <a:pt x="203200" y="17084"/>
                <a:pt x="266700" y="47246"/>
              </a:cubicBezTo>
              <a:cubicBezTo>
                <a:pt x="330200" y="77408"/>
                <a:pt x="306388" y="131384"/>
                <a:pt x="381000" y="190121"/>
              </a:cubicBezTo>
              <a:cubicBezTo>
                <a:pt x="455613" y="248859"/>
                <a:pt x="590550" y="356809"/>
                <a:pt x="714375" y="399671"/>
              </a:cubicBezTo>
              <a:cubicBezTo>
                <a:pt x="838200" y="442533"/>
                <a:pt x="984250" y="434596"/>
                <a:pt x="1123950" y="447296"/>
              </a:cubicBezTo>
              <a:cubicBezTo>
                <a:pt x="1263650" y="459996"/>
                <a:pt x="1325563" y="474284"/>
                <a:pt x="1552575" y="475871"/>
              </a:cubicBezTo>
              <a:cubicBezTo>
                <a:pt x="1779587" y="477458"/>
                <a:pt x="2184400" y="456821"/>
                <a:pt x="2486025" y="456821"/>
              </a:cubicBezTo>
              <a:cubicBezTo>
                <a:pt x="2787650" y="456821"/>
                <a:pt x="3073400" y="477459"/>
                <a:pt x="3362325" y="475871"/>
              </a:cubicBezTo>
              <a:cubicBezTo>
                <a:pt x="3651250" y="474284"/>
                <a:pt x="4049713" y="466346"/>
                <a:pt x="4219575" y="447296"/>
              </a:cubicBezTo>
              <a:cubicBezTo>
                <a:pt x="4389437" y="428246"/>
                <a:pt x="4325938" y="391733"/>
                <a:pt x="4381500" y="361571"/>
              </a:cubicBezTo>
              <a:cubicBezTo>
                <a:pt x="4437062" y="331409"/>
                <a:pt x="4500563" y="288546"/>
                <a:pt x="4552950" y="266321"/>
              </a:cubicBezTo>
              <a:cubicBezTo>
                <a:pt x="4605337" y="244096"/>
                <a:pt x="4652963" y="269496"/>
                <a:pt x="4695825" y="228221"/>
              </a:cubicBezTo>
              <a:cubicBezTo>
                <a:pt x="4738687" y="186946"/>
                <a:pt x="4775200" y="55183"/>
                <a:pt x="4810125" y="18671"/>
              </a:cubicBezTo>
              <a:cubicBezTo>
                <a:pt x="4845050" y="-17841"/>
                <a:pt x="4892675" y="10733"/>
                <a:pt x="4905375" y="9146"/>
              </a:cubicBezTo>
              <a:cubicBezTo>
                <a:pt x="4918075" y="7559"/>
                <a:pt x="4902200" y="8352"/>
                <a:pt x="4886325" y="9146"/>
              </a:cubicBezTo>
            </a:path>
          </a:pathLst>
        </a:custGeom>
        <a:noFill/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44</xdr:row>
      <xdr:rowOff>379</xdr:rowOff>
    </xdr:from>
    <xdr:to>
      <xdr:col>43</xdr:col>
      <xdr:colOff>33190</xdr:colOff>
      <xdr:row>47</xdr:row>
      <xdr:rowOff>123825</xdr:rowOff>
    </xdr:to>
    <xdr:sp macro="" textlink="">
      <xdr:nvSpPr>
        <xdr:cNvPr id="2" name="Free-form: Shape 1">
          <a:extLst>
            <a:ext uri="{FF2B5EF4-FFF2-40B4-BE49-F238E27FC236}">
              <a16:creationId xmlns:a16="http://schemas.microsoft.com/office/drawing/2014/main" id="{CBE14D3B-3A9E-4CD4-817B-083D0DC48C3C}"/>
            </a:ext>
          </a:extLst>
        </xdr:cNvPr>
        <xdr:cNvSpPr/>
      </xdr:nvSpPr>
      <xdr:spPr>
        <a:xfrm>
          <a:off x="1095375" y="8382379"/>
          <a:ext cx="6719740" cy="694946"/>
        </a:xfrm>
        <a:custGeom>
          <a:avLst/>
          <a:gdLst>
            <a:gd name="csX0" fmla="*/ 0 w 4909990"/>
            <a:gd name="csY0" fmla="*/ 9146 h 475958"/>
            <a:gd name="csX1" fmla="*/ 266700 w 4909990"/>
            <a:gd name="csY1" fmla="*/ 47246 h 475958"/>
            <a:gd name="csX2" fmla="*/ 381000 w 4909990"/>
            <a:gd name="csY2" fmla="*/ 190121 h 475958"/>
            <a:gd name="csX3" fmla="*/ 714375 w 4909990"/>
            <a:gd name="csY3" fmla="*/ 399671 h 475958"/>
            <a:gd name="csX4" fmla="*/ 1123950 w 4909990"/>
            <a:gd name="csY4" fmla="*/ 447296 h 475958"/>
            <a:gd name="csX5" fmla="*/ 1552575 w 4909990"/>
            <a:gd name="csY5" fmla="*/ 475871 h 475958"/>
            <a:gd name="csX6" fmla="*/ 2486025 w 4909990"/>
            <a:gd name="csY6" fmla="*/ 456821 h 475958"/>
            <a:gd name="csX7" fmla="*/ 3362325 w 4909990"/>
            <a:gd name="csY7" fmla="*/ 475871 h 475958"/>
            <a:gd name="csX8" fmla="*/ 4219575 w 4909990"/>
            <a:gd name="csY8" fmla="*/ 447296 h 475958"/>
            <a:gd name="csX9" fmla="*/ 4381500 w 4909990"/>
            <a:gd name="csY9" fmla="*/ 361571 h 475958"/>
            <a:gd name="csX10" fmla="*/ 4552950 w 4909990"/>
            <a:gd name="csY10" fmla="*/ 266321 h 475958"/>
            <a:gd name="csX11" fmla="*/ 4695825 w 4909990"/>
            <a:gd name="csY11" fmla="*/ 228221 h 475958"/>
            <a:gd name="csX12" fmla="*/ 4810125 w 4909990"/>
            <a:gd name="csY12" fmla="*/ 18671 h 475958"/>
            <a:gd name="csX13" fmla="*/ 4905375 w 4909990"/>
            <a:gd name="csY13" fmla="*/ 9146 h 475958"/>
            <a:gd name="csX14" fmla="*/ 4886325 w 4909990"/>
            <a:gd name="csY14" fmla="*/ 9146 h 47595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</a:cxnLst>
          <a:rect l="l" t="t" r="r" b="b"/>
          <a:pathLst>
            <a:path w="4909990" h="475958">
              <a:moveTo>
                <a:pt x="0" y="9146"/>
              </a:moveTo>
              <a:cubicBezTo>
                <a:pt x="101600" y="13115"/>
                <a:pt x="203200" y="17084"/>
                <a:pt x="266700" y="47246"/>
              </a:cubicBezTo>
              <a:cubicBezTo>
                <a:pt x="330200" y="77408"/>
                <a:pt x="306388" y="131384"/>
                <a:pt x="381000" y="190121"/>
              </a:cubicBezTo>
              <a:cubicBezTo>
                <a:pt x="455613" y="248859"/>
                <a:pt x="590550" y="356809"/>
                <a:pt x="714375" y="399671"/>
              </a:cubicBezTo>
              <a:cubicBezTo>
                <a:pt x="838200" y="442533"/>
                <a:pt x="984250" y="434596"/>
                <a:pt x="1123950" y="447296"/>
              </a:cubicBezTo>
              <a:cubicBezTo>
                <a:pt x="1263650" y="459996"/>
                <a:pt x="1325563" y="474284"/>
                <a:pt x="1552575" y="475871"/>
              </a:cubicBezTo>
              <a:cubicBezTo>
                <a:pt x="1779587" y="477458"/>
                <a:pt x="2184400" y="456821"/>
                <a:pt x="2486025" y="456821"/>
              </a:cubicBezTo>
              <a:cubicBezTo>
                <a:pt x="2787650" y="456821"/>
                <a:pt x="3073400" y="477459"/>
                <a:pt x="3362325" y="475871"/>
              </a:cubicBezTo>
              <a:cubicBezTo>
                <a:pt x="3651250" y="474284"/>
                <a:pt x="4049713" y="466346"/>
                <a:pt x="4219575" y="447296"/>
              </a:cubicBezTo>
              <a:cubicBezTo>
                <a:pt x="4389437" y="428246"/>
                <a:pt x="4325938" y="391733"/>
                <a:pt x="4381500" y="361571"/>
              </a:cubicBezTo>
              <a:cubicBezTo>
                <a:pt x="4437062" y="331409"/>
                <a:pt x="4500563" y="288546"/>
                <a:pt x="4552950" y="266321"/>
              </a:cubicBezTo>
              <a:cubicBezTo>
                <a:pt x="4605337" y="244096"/>
                <a:pt x="4652963" y="269496"/>
                <a:pt x="4695825" y="228221"/>
              </a:cubicBezTo>
              <a:cubicBezTo>
                <a:pt x="4738687" y="186946"/>
                <a:pt x="4775200" y="55183"/>
                <a:pt x="4810125" y="18671"/>
              </a:cubicBezTo>
              <a:cubicBezTo>
                <a:pt x="4845050" y="-17841"/>
                <a:pt x="4892675" y="10733"/>
                <a:pt x="4905375" y="9146"/>
              </a:cubicBezTo>
              <a:cubicBezTo>
                <a:pt x="4918075" y="7559"/>
                <a:pt x="4902200" y="8352"/>
                <a:pt x="4886325" y="9146"/>
              </a:cubicBezTo>
            </a:path>
          </a:pathLst>
        </a:custGeom>
        <a:noFill/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44</xdr:row>
      <xdr:rowOff>379</xdr:rowOff>
    </xdr:from>
    <xdr:to>
      <xdr:col>43</xdr:col>
      <xdr:colOff>33190</xdr:colOff>
      <xdr:row>47</xdr:row>
      <xdr:rowOff>57150</xdr:rowOff>
    </xdr:to>
    <xdr:sp macro="" textlink="">
      <xdr:nvSpPr>
        <xdr:cNvPr id="2" name="Free-form: Shape 1">
          <a:extLst>
            <a:ext uri="{FF2B5EF4-FFF2-40B4-BE49-F238E27FC236}">
              <a16:creationId xmlns:a16="http://schemas.microsoft.com/office/drawing/2014/main" id="{54EDD6A1-61C7-4F8E-B9DE-70BABC04D337}"/>
            </a:ext>
          </a:extLst>
        </xdr:cNvPr>
        <xdr:cNvSpPr/>
      </xdr:nvSpPr>
      <xdr:spPr>
        <a:xfrm>
          <a:off x="1095375" y="8382379"/>
          <a:ext cx="6719740" cy="628271"/>
        </a:xfrm>
        <a:custGeom>
          <a:avLst/>
          <a:gdLst>
            <a:gd name="csX0" fmla="*/ 0 w 4909990"/>
            <a:gd name="csY0" fmla="*/ 9146 h 475958"/>
            <a:gd name="csX1" fmla="*/ 266700 w 4909990"/>
            <a:gd name="csY1" fmla="*/ 47246 h 475958"/>
            <a:gd name="csX2" fmla="*/ 381000 w 4909990"/>
            <a:gd name="csY2" fmla="*/ 190121 h 475958"/>
            <a:gd name="csX3" fmla="*/ 714375 w 4909990"/>
            <a:gd name="csY3" fmla="*/ 399671 h 475958"/>
            <a:gd name="csX4" fmla="*/ 1123950 w 4909990"/>
            <a:gd name="csY4" fmla="*/ 447296 h 475958"/>
            <a:gd name="csX5" fmla="*/ 1552575 w 4909990"/>
            <a:gd name="csY5" fmla="*/ 475871 h 475958"/>
            <a:gd name="csX6" fmla="*/ 2486025 w 4909990"/>
            <a:gd name="csY6" fmla="*/ 456821 h 475958"/>
            <a:gd name="csX7" fmla="*/ 3362325 w 4909990"/>
            <a:gd name="csY7" fmla="*/ 475871 h 475958"/>
            <a:gd name="csX8" fmla="*/ 4219575 w 4909990"/>
            <a:gd name="csY8" fmla="*/ 447296 h 475958"/>
            <a:gd name="csX9" fmla="*/ 4381500 w 4909990"/>
            <a:gd name="csY9" fmla="*/ 361571 h 475958"/>
            <a:gd name="csX10" fmla="*/ 4552950 w 4909990"/>
            <a:gd name="csY10" fmla="*/ 266321 h 475958"/>
            <a:gd name="csX11" fmla="*/ 4695825 w 4909990"/>
            <a:gd name="csY11" fmla="*/ 228221 h 475958"/>
            <a:gd name="csX12" fmla="*/ 4810125 w 4909990"/>
            <a:gd name="csY12" fmla="*/ 18671 h 475958"/>
            <a:gd name="csX13" fmla="*/ 4905375 w 4909990"/>
            <a:gd name="csY13" fmla="*/ 9146 h 475958"/>
            <a:gd name="csX14" fmla="*/ 4886325 w 4909990"/>
            <a:gd name="csY14" fmla="*/ 9146 h 47595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</a:cxnLst>
          <a:rect l="l" t="t" r="r" b="b"/>
          <a:pathLst>
            <a:path w="4909990" h="475958">
              <a:moveTo>
                <a:pt x="0" y="9146"/>
              </a:moveTo>
              <a:cubicBezTo>
                <a:pt x="101600" y="13115"/>
                <a:pt x="203200" y="17084"/>
                <a:pt x="266700" y="47246"/>
              </a:cubicBezTo>
              <a:cubicBezTo>
                <a:pt x="330200" y="77408"/>
                <a:pt x="306388" y="131384"/>
                <a:pt x="381000" y="190121"/>
              </a:cubicBezTo>
              <a:cubicBezTo>
                <a:pt x="455613" y="248859"/>
                <a:pt x="590550" y="356809"/>
                <a:pt x="714375" y="399671"/>
              </a:cubicBezTo>
              <a:cubicBezTo>
                <a:pt x="838200" y="442533"/>
                <a:pt x="984250" y="434596"/>
                <a:pt x="1123950" y="447296"/>
              </a:cubicBezTo>
              <a:cubicBezTo>
                <a:pt x="1263650" y="459996"/>
                <a:pt x="1325563" y="474284"/>
                <a:pt x="1552575" y="475871"/>
              </a:cubicBezTo>
              <a:cubicBezTo>
                <a:pt x="1779587" y="477458"/>
                <a:pt x="2184400" y="456821"/>
                <a:pt x="2486025" y="456821"/>
              </a:cubicBezTo>
              <a:cubicBezTo>
                <a:pt x="2787650" y="456821"/>
                <a:pt x="3073400" y="477459"/>
                <a:pt x="3362325" y="475871"/>
              </a:cubicBezTo>
              <a:cubicBezTo>
                <a:pt x="3651250" y="474284"/>
                <a:pt x="4049713" y="466346"/>
                <a:pt x="4219575" y="447296"/>
              </a:cubicBezTo>
              <a:cubicBezTo>
                <a:pt x="4389437" y="428246"/>
                <a:pt x="4325938" y="391733"/>
                <a:pt x="4381500" y="361571"/>
              </a:cubicBezTo>
              <a:cubicBezTo>
                <a:pt x="4437062" y="331409"/>
                <a:pt x="4500563" y="288546"/>
                <a:pt x="4552950" y="266321"/>
              </a:cubicBezTo>
              <a:cubicBezTo>
                <a:pt x="4605337" y="244096"/>
                <a:pt x="4652963" y="269496"/>
                <a:pt x="4695825" y="228221"/>
              </a:cubicBezTo>
              <a:cubicBezTo>
                <a:pt x="4738687" y="186946"/>
                <a:pt x="4775200" y="55183"/>
                <a:pt x="4810125" y="18671"/>
              </a:cubicBezTo>
              <a:cubicBezTo>
                <a:pt x="4845050" y="-17841"/>
                <a:pt x="4892675" y="10733"/>
                <a:pt x="4905375" y="9146"/>
              </a:cubicBezTo>
              <a:cubicBezTo>
                <a:pt x="4918075" y="7559"/>
                <a:pt x="4902200" y="8352"/>
                <a:pt x="4886325" y="9146"/>
              </a:cubicBezTo>
            </a:path>
          </a:pathLst>
        </a:custGeom>
        <a:noFill/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</xdr:colOff>
      <xdr:row>28</xdr:row>
      <xdr:rowOff>0</xdr:rowOff>
    </xdr:from>
    <xdr:to>
      <xdr:col>63</xdr:col>
      <xdr:colOff>28575</xdr:colOff>
      <xdr:row>33</xdr:row>
      <xdr:rowOff>66675</xdr:rowOff>
    </xdr:to>
    <xdr:sp macro="" textlink="">
      <xdr:nvSpPr>
        <xdr:cNvPr id="2" name="Free-form: Shape 1">
          <a:extLst>
            <a:ext uri="{FF2B5EF4-FFF2-40B4-BE49-F238E27FC236}">
              <a16:creationId xmlns:a16="http://schemas.microsoft.com/office/drawing/2014/main" id="{C3DA905A-86BB-4558-86D1-426A923146D9}"/>
            </a:ext>
          </a:extLst>
        </xdr:cNvPr>
        <xdr:cNvSpPr/>
      </xdr:nvSpPr>
      <xdr:spPr>
        <a:xfrm>
          <a:off x="1466850" y="5334000"/>
          <a:ext cx="9963150" cy="1019175"/>
        </a:xfrm>
        <a:custGeom>
          <a:avLst/>
          <a:gdLst>
            <a:gd name="csX0" fmla="*/ 0 w 10868025"/>
            <a:gd name="csY0" fmla="*/ 9525 h 955626"/>
            <a:gd name="csX1" fmla="*/ 238125 w 10868025"/>
            <a:gd name="csY1" fmla="*/ 219075 h 955626"/>
            <a:gd name="csX2" fmla="*/ 476250 w 10868025"/>
            <a:gd name="csY2" fmla="*/ 304800 h 955626"/>
            <a:gd name="csX3" fmla="*/ 628650 w 10868025"/>
            <a:gd name="csY3" fmla="*/ 438150 h 955626"/>
            <a:gd name="csX4" fmla="*/ 952500 w 10868025"/>
            <a:gd name="csY4" fmla="*/ 485775 h 955626"/>
            <a:gd name="csX5" fmla="*/ 1371600 w 10868025"/>
            <a:gd name="csY5" fmla="*/ 552450 h 955626"/>
            <a:gd name="csX6" fmla="*/ 1600200 w 10868025"/>
            <a:gd name="csY6" fmla="*/ 742950 h 955626"/>
            <a:gd name="csX7" fmla="*/ 1971675 w 10868025"/>
            <a:gd name="csY7" fmla="*/ 838200 h 955626"/>
            <a:gd name="csX8" fmla="*/ 2600325 w 10868025"/>
            <a:gd name="csY8" fmla="*/ 923925 h 955626"/>
            <a:gd name="csX9" fmla="*/ 3686175 w 10868025"/>
            <a:gd name="csY9" fmla="*/ 952500 h 955626"/>
            <a:gd name="csX10" fmla="*/ 4648200 w 10868025"/>
            <a:gd name="csY10" fmla="*/ 857250 h 955626"/>
            <a:gd name="csX11" fmla="*/ 6562725 w 10868025"/>
            <a:gd name="csY11" fmla="*/ 942975 h 955626"/>
            <a:gd name="csX12" fmla="*/ 7934325 w 10868025"/>
            <a:gd name="csY12" fmla="*/ 876300 h 955626"/>
            <a:gd name="csX13" fmla="*/ 9420225 w 10868025"/>
            <a:gd name="csY13" fmla="*/ 838200 h 955626"/>
            <a:gd name="csX14" fmla="*/ 9820275 w 10868025"/>
            <a:gd name="csY14" fmla="*/ 581025 h 955626"/>
            <a:gd name="csX15" fmla="*/ 10153650 w 10868025"/>
            <a:gd name="csY15" fmla="*/ 409575 h 955626"/>
            <a:gd name="csX16" fmla="*/ 10487025 w 10868025"/>
            <a:gd name="csY16" fmla="*/ 200025 h 955626"/>
            <a:gd name="csX17" fmla="*/ 10868025 w 10868025"/>
            <a:gd name="csY17" fmla="*/ 0 h 955626"/>
            <a:gd name="csX18" fmla="*/ 10868025 w 10868025"/>
            <a:gd name="csY18" fmla="*/ 0 h 955626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</a:cxnLst>
          <a:rect l="l" t="t" r="r" b="b"/>
          <a:pathLst>
            <a:path w="10868025" h="955626">
              <a:moveTo>
                <a:pt x="0" y="9525"/>
              </a:moveTo>
              <a:cubicBezTo>
                <a:pt x="79375" y="89694"/>
                <a:pt x="158750" y="169863"/>
                <a:pt x="238125" y="219075"/>
              </a:cubicBezTo>
              <a:cubicBezTo>
                <a:pt x="317500" y="268287"/>
                <a:pt x="411162" y="268287"/>
                <a:pt x="476250" y="304800"/>
              </a:cubicBezTo>
              <a:cubicBezTo>
                <a:pt x="541338" y="341313"/>
                <a:pt x="549275" y="407988"/>
                <a:pt x="628650" y="438150"/>
              </a:cubicBezTo>
              <a:cubicBezTo>
                <a:pt x="708025" y="468313"/>
                <a:pt x="952500" y="485775"/>
                <a:pt x="952500" y="485775"/>
              </a:cubicBezTo>
              <a:cubicBezTo>
                <a:pt x="1076325" y="504825"/>
                <a:pt x="1263650" y="509588"/>
                <a:pt x="1371600" y="552450"/>
              </a:cubicBezTo>
              <a:cubicBezTo>
                <a:pt x="1479550" y="595313"/>
                <a:pt x="1500188" y="695325"/>
                <a:pt x="1600200" y="742950"/>
              </a:cubicBezTo>
              <a:cubicBezTo>
                <a:pt x="1700212" y="790575"/>
                <a:pt x="1804988" y="808038"/>
                <a:pt x="1971675" y="838200"/>
              </a:cubicBezTo>
              <a:cubicBezTo>
                <a:pt x="2138363" y="868363"/>
                <a:pt x="2314575" y="904875"/>
                <a:pt x="2600325" y="923925"/>
              </a:cubicBezTo>
              <a:cubicBezTo>
                <a:pt x="2886075" y="942975"/>
                <a:pt x="3344862" y="963613"/>
                <a:pt x="3686175" y="952500"/>
              </a:cubicBezTo>
              <a:cubicBezTo>
                <a:pt x="4027488" y="941387"/>
                <a:pt x="4168775" y="858838"/>
                <a:pt x="4648200" y="857250"/>
              </a:cubicBezTo>
              <a:cubicBezTo>
                <a:pt x="5127625" y="855662"/>
                <a:pt x="6015038" y="939800"/>
                <a:pt x="6562725" y="942975"/>
              </a:cubicBezTo>
              <a:cubicBezTo>
                <a:pt x="7110412" y="946150"/>
                <a:pt x="7458075" y="893762"/>
                <a:pt x="7934325" y="876300"/>
              </a:cubicBezTo>
              <a:cubicBezTo>
                <a:pt x="8410575" y="858838"/>
                <a:pt x="9105900" y="887412"/>
                <a:pt x="9420225" y="838200"/>
              </a:cubicBezTo>
              <a:cubicBezTo>
                <a:pt x="9734550" y="788988"/>
                <a:pt x="9698038" y="652462"/>
                <a:pt x="9820275" y="581025"/>
              </a:cubicBezTo>
              <a:cubicBezTo>
                <a:pt x="9942512" y="509588"/>
                <a:pt x="10042525" y="473075"/>
                <a:pt x="10153650" y="409575"/>
              </a:cubicBezTo>
              <a:cubicBezTo>
                <a:pt x="10264775" y="346075"/>
                <a:pt x="10367963" y="268287"/>
                <a:pt x="10487025" y="200025"/>
              </a:cubicBezTo>
              <a:cubicBezTo>
                <a:pt x="10606087" y="131763"/>
                <a:pt x="10868025" y="0"/>
                <a:pt x="10868025" y="0"/>
              </a:cubicBezTo>
              <a:lnTo>
                <a:pt x="10868025" y="0"/>
              </a:lnTo>
            </a:path>
          </a:pathLst>
        </a:custGeom>
        <a:noFill/>
        <a:ln>
          <a:prstDash val="dash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44</xdr:row>
      <xdr:rowOff>379</xdr:rowOff>
    </xdr:from>
    <xdr:to>
      <xdr:col>33</xdr:col>
      <xdr:colOff>33190</xdr:colOff>
      <xdr:row>46</xdr:row>
      <xdr:rowOff>95337</xdr:rowOff>
    </xdr:to>
    <xdr:sp macro="" textlink="">
      <xdr:nvSpPr>
        <xdr:cNvPr id="3" name="Free-form: Shape 2">
          <a:extLst>
            <a:ext uri="{FF2B5EF4-FFF2-40B4-BE49-F238E27FC236}">
              <a16:creationId xmlns:a16="http://schemas.microsoft.com/office/drawing/2014/main" id="{472C94B2-51EC-00AA-F763-2D6730075BB4}"/>
            </a:ext>
          </a:extLst>
        </xdr:cNvPr>
        <xdr:cNvSpPr/>
      </xdr:nvSpPr>
      <xdr:spPr>
        <a:xfrm>
          <a:off x="1095375" y="6477379"/>
          <a:ext cx="4909990" cy="475958"/>
        </a:xfrm>
        <a:custGeom>
          <a:avLst/>
          <a:gdLst>
            <a:gd name="csX0" fmla="*/ 0 w 4909990"/>
            <a:gd name="csY0" fmla="*/ 9146 h 475958"/>
            <a:gd name="csX1" fmla="*/ 266700 w 4909990"/>
            <a:gd name="csY1" fmla="*/ 47246 h 475958"/>
            <a:gd name="csX2" fmla="*/ 381000 w 4909990"/>
            <a:gd name="csY2" fmla="*/ 190121 h 475958"/>
            <a:gd name="csX3" fmla="*/ 714375 w 4909990"/>
            <a:gd name="csY3" fmla="*/ 399671 h 475958"/>
            <a:gd name="csX4" fmla="*/ 1123950 w 4909990"/>
            <a:gd name="csY4" fmla="*/ 447296 h 475958"/>
            <a:gd name="csX5" fmla="*/ 1552575 w 4909990"/>
            <a:gd name="csY5" fmla="*/ 475871 h 475958"/>
            <a:gd name="csX6" fmla="*/ 2486025 w 4909990"/>
            <a:gd name="csY6" fmla="*/ 456821 h 475958"/>
            <a:gd name="csX7" fmla="*/ 3362325 w 4909990"/>
            <a:gd name="csY7" fmla="*/ 475871 h 475958"/>
            <a:gd name="csX8" fmla="*/ 4219575 w 4909990"/>
            <a:gd name="csY8" fmla="*/ 447296 h 475958"/>
            <a:gd name="csX9" fmla="*/ 4381500 w 4909990"/>
            <a:gd name="csY9" fmla="*/ 361571 h 475958"/>
            <a:gd name="csX10" fmla="*/ 4552950 w 4909990"/>
            <a:gd name="csY10" fmla="*/ 266321 h 475958"/>
            <a:gd name="csX11" fmla="*/ 4695825 w 4909990"/>
            <a:gd name="csY11" fmla="*/ 228221 h 475958"/>
            <a:gd name="csX12" fmla="*/ 4810125 w 4909990"/>
            <a:gd name="csY12" fmla="*/ 18671 h 475958"/>
            <a:gd name="csX13" fmla="*/ 4905375 w 4909990"/>
            <a:gd name="csY13" fmla="*/ 9146 h 475958"/>
            <a:gd name="csX14" fmla="*/ 4886325 w 4909990"/>
            <a:gd name="csY14" fmla="*/ 9146 h 47595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</a:cxnLst>
          <a:rect l="l" t="t" r="r" b="b"/>
          <a:pathLst>
            <a:path w="4909990" h="475958">
              <a:moveTo>
                <a:pt x="0" y="9146"/>
              </a:moveTo>
              <a:cubicBezTo>
                <a:pt x="101600" y="13115"/>
                <a:pt x="203200" y="17084"/>
                <a:pt x="266700" y="47246"/>
              </a:cubicBezTo>
              <a:cubicBezTo>
                <a:pt x="330200" y="77408"/>
                <a:pt x="306388" y="131384"/>
                <a:pt x="381000" y="190121"/>
              </a:cubicBezTo>
              <a:cubicBezTo>
                <a:pt x="455613" y="248859"/>
                <a:pt x="590550" y="356809"/>
                <a:pt x="714375" y="399671"/>
              </a:cubicBezTo>
              <a:cubicBezTo>
                <a:pt x="838200" y="442533"/>
                <a:pt x="984250" y="434596"/>
                <a:pt x="1123950" y="447296"/>
              </a:cubicBezTo>
              <a:cubicBezTo>
                <a:pt x="1263650" y="459996"/>
                <a:pt x="1325563" y="474284"/>
                <a:pt x="1552575" y="475871"/>
              </a:cubicBezTo>
              <a:cubicBezTo>
                <a:pt x="1779587" y="477458"/>
                <a:pt x="2184400" y="456821"/>
                <a:pt x="2486025" y="456821"/>
              </a:cubicBezTo>
              <a:cubicBezTo>
                <a:pt x="2787650" y="456821"/>
                <a:pt x="3073400" y="477459"/>
                <a:pt x="3362325" y="475871"/>
              </a:cubicBezTo>
              <a:cubicBezTo>
                <a:pt x="3651250" y="474284"/>
                <a:pt x="4049713" y="466346"/>
                <a:pt x="4219575" y="447296"/>
              </a:cubicBezTo>
              <a:cubicBezTo>
                <a:pt x="4389437" y="428246"/>
                <a:pt x="4325938" y="391733"/>
                <a:pt x="4381500" y="361571"/>
              </a:cubicBezTo>
              <a:cubicBezTo>
                <a:pt x="4437062" y="331409"/>
                <a:pt x="4500563" y="288546"/>
                <a:pt x="4552950" y="266321"/>
              </a:cubicBezTo>
              <a:cubicBezTo>
                <a:pt x="4605337" y="244096"/>
                <a:pt x="4652963" y="269496"/>
                <a:pt x="4695825" y="228221"/>
              </a:cubicBezTo>
              <a:cubicBezTo>
                <a:pt x="4738687" y="186946"/>
                <a:pt x="4775200" y="55183"/>
                <a:pt x="4810125" y="18671"/>
              </a:cubicBezTo>
              <a:cubicBezTo>
                <a:pt x="4845050" y="-17841"/>
                <a:pt x="4892675" y="10733"/>
                <a:pt x="4905375" y="9146"/>
              </a:cubicBezTo>
              <a:cubicBezTo>
                <a:pt x="4918075" y="7559"/>
                <a:pt x="4902200" y="8352"/>
                <a:pt x="4886325" y="9146"/>
              </a:cubicBezTo>
            </a:path>
          </a:pathLst>
        </a:custGeom>
        <a:noFill/>
        <a:ln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</xdr:colOff>
      <xdr:row>40</xdr:row>
      <xdr:rowOff>0</xdr:rowOff>
    </xdr:from>
    <xdr:to>
      <xdr:col>68</xdr:col>
      <xdr:colOff>28575</xdr:colOff>
      <xdr:row>44</xdr:row>
      <xdr:rowOff>28575</xdr:rowOff>
    </xdr:to>
    <xdr:sp macro="" textlink="">
      <xdr:nvSpPr>
        <xdr:cNvPr id="3" name="Free-form: Shape 2">
          <a:extLst>
            <a:ext uri="{FF2B5EF4-FFF2-40B4-BE49-F238E27FC236}">
              <a16:creationId xmlns:a16="http://schemas.microsoft.com/office/drawing/2014/main" id="{63D19381-6F28-4524-0328-787E2CDD6BF4}"/>
            </a:ext>
          </a:extLst>
        </xdr:cNvPr>
        <xdr:cNvSpPr/>
      </xdr:nvSpPr>
      <xdr:spPr>
        <a:xfrm>
          <a:off x="1466850" y="7620000"/>
          <a:ext cx="10868025" cy="790575"/>
        </a:xfrm>
        <a:custGeom>
          <a:avLst/>
          <a:gdLst>
            <a:gd name="csX0" fmla="*/ 0 w 10868025"/>
            <a:gd name="csY0" fmla="*/ 9525 h 955626"/>
            <a:gd name="csX1" fmla="*/ 238125 w 10868025"/>
            <a:gd name="csY1" fmla="*/ 219075 h 955626"/>
            <a:gd name="csX2" fmla="*/ 476250 w 10868025"/>
            <a:gd name="csY2" fmla="*/ 304800 h 955626"/>
            <a:gd name="csX3" fmla="*/ 628650 w 10868025"/>
            <a:gd name="csY3" fmla="*/ 438150 h 955626"/>
            <a:gd name="csX4" fmla="*/ 952500 w 10868025"/>
            <a:gd name="csY4" fmla="*/ 485775 h 955626"/>
            <a:gd name="csX5" fmla="*/ 1371600 w 10868025"/>
            <a:gd name="csY5" fmla="*/ 552450 h 955626"/>
            <a:gd name="csX6" fmla="*/ 1600200 w 10868025"/>
            <a:gd name="csY6" fmla="*/ 742950 h 955626"/>
            <a:gd name="csX7" fmla="*/ 1971675 w 10868025"/>
            <a:gd name="csY7" fmla="*/ 838200 h 955626"/>
            <a:gd name="csX8" fmla="*/ 2600325 w 10868025"/>
            <a:gd name="csY8" fmla="*/ 923925 h 955626"/>
            <a:gd name="csX9" fmla="*/ 3686175 w 10868025"/>
            <a:gd name="csY9" fmla="*/ 952500 h 955626"/>
            <a:gd name="csX10" fmla="*/ 4648200 w 10868025"/>
            <a:gd name="csY10" fmla="*/ 857250 h 955626"/>
            <a:gd name="csX11" fmla="*/ 6562725 w 10868025"/>
            <a:gd name="csY11" fmla="*/ 942975 h 955626"/>
            <a:gd name="csX12" fmla="*/ 7934325 w 10868025"/>
            <a:gd name="csY12" fmla="*/ 876300 h 955626"/>
            <a:gd name="csX13" fmla="*/ 9420225 w 10868025"/>
            <a:gd name="csY13" fmla="*/ 838200 h 955626"/>
            <a:gd name="csX14" fmla="*/ 9820275 w 10868025"/>
            <a:gd name="csY14" fmla="*/ 581025 h 955626"/>
            <a:gd name="csX15" fmla="*/ 10153650 w 10868025"/>
            <a:gd name="csY15" fmla="*/ 409575 h 955626"/>
            <a:gd name="csX16" fmla="*/ 10487025 w 10868025"/>
            <a:gd name="csY16" fmla="*/ 200025 h 955626"/>
            <a:gd name="csX17" fmla="*/ 10868025 w 10868025"/>
            <a:gd name="csY17" fmla="*/ 0 h 955626"/>
            <a:gd name="csX18" fmla="*/ 10868025 w 10868025"/>
            <a:gd name="csY18" fmla="*/ 0 h 955626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</a:cxnLst>
          <a:rect l="l" t="t" r="r" b="b"/>
          <a:pathLst>
            <a:path w="10868025" h="955626">
              <a:moveTo>
                <a:pt x="0" y="9525"/>
              </a:moveTo>
              <a:cubicBezTo>
                <a:pt x="79375" y="89694"/>
                <a:pt x="158750" y="169863"/>
                <a:pt x="238125" y="219075"/>
              </a:cubicBezTo>
              <a:cubicBezTo>
                <a:pt x="317500" y="268287"/>
                <a:pt x="411162" y="268287"/>
                <a:pt x="476250" y="304800"/>
              </a:cubicBezTo>
              <a:cubicBezTo>
                <a:pt x="541338" y="341313"/>
                <a:pt x="549275" y="407988"/>
                <a:pt x="628650" y="438150"/>
              </a:cubicBezTo>
              <a:cubicBezTo>
                <a:pt x="708025" y="468313"/>
                <a:pt x="952500" y="485775"/>
                <a:pt x="952500" y="485775"/>
              </a:cubicBezTo>
              <a:cubicBezTo>
                <a:pt x="1076325" y="504825"/>
                <a:pt x="1263650" y="509588"/>
                <a:pt x="1371600" y="552450"/>
              </a:cubicBezTo>
              <a:cubicBezTo>
                <a:pt x="1479550" y="595313"/>
                <a:pt x="1500188" y="695325"/>
                <a:pt x="1600200" y="742950"/>
              </a:cubicBezTo>
              <a:cubicBezTo>
                <a:pt x="1700212" y="790575"/>
                <a:pt x="1804988" y="808038"/>
                <a:pt x="1971675" y="838200"/>
              </a:cubicBezTo>
              <a:cubicBezTo>
                <a:pt x="2138363" y="868363"/>
                <a:pt x="2314575" y="904875"/>
                <a:pt x="2600325" y="923925"/>
              </a:cubicBezTo>
              <a:cubicBezTo>
                <a:pt x="2886075" y="942975"/>
                <a:pt x="3344862" y="963613"/>
                <a:pt x="3686175" y="952500"/>
              </a:cubicBezTo>
              <a:cubicBezTo>
                <a:pt x="4027488" y="941387"/>
                <a:pt x="4168775" y="858838"/>
                <a:pt x="4648200" y="857250"/>
              </a:cubicBezTo>
              <a:cubicBezTo>
                <a:pt x="5127625" y="855662"/>
                <a:pt x="6015038" y="939800"/>
                <a:pt x="6562725" y="942975"/>
              </a:cubicBezTo>
              <a:cubicBezTo>
                <a:pt x="7110412" y="946150"/>
                <a:pt x="7458075" y="893762"/>
                <a:pt x="7934325" y="876300"/>
              </a:cubicBezTo>
              <a:cubicBezTo>
                <a:pt x="8410575" y="858838"/>
                <a:pt x="9105900" y="887412"/>
                <a:pt x="9420225" y="838200"/>
              </a:cubicBezTo>
              <a:cubicBezTo>
                <a:pt x="9734550" y="788988"/>
                <a:pt x="9698038" y="652462"/>
                <a:pt x="9820275" y="581025"/>
              </a:cubicBezTo>
              <a:cubicBezTo>
                <a:pt x="9942512" y="509588"/>
                <a:pt x="10042525" y="473075"/>
                <a:pt x="10153650" y="409575"/>
              </a:cubicBezTo>
              <a:cubicBezTo>
                <a:pt x="10264775" y="346075"/>
                <a:pt x="10367963" y="268287"/>
                <a:pt x="10487025" y="200025"/>
              </a:cubicBezTo>
              <a:cubicBezTo>
                <a:pt x="10606087" y="131763"/>
                <a:pt x="10868025" y="0"/>
                <a:pt x="10868025" y="0"/>
              </a:cubicBezTo>
              <a:lnTo>
                <a:pt x="10868025" y="0"/>
              </a:lnTo>
            </a:path>
          </a:pathLst>
        </a:custGeom>
        <a:noFill/>
        <a:ln>
          <a:prstDash val="dash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726B0-F9D7-4735-B985-4382B0AD9ADD}">
  <sheetPr>
    <pageSetUpPr fitToPage="1"/>
  </sheetPr>
  <dimension ref="A1:AN39"/>
  <sheetViews>
    <sheetView tabSelected="1" zoomScale="90" zoomScaleNormal="90" workbookViewId="0">
      <selection activeCell="F8" sqref="F8:J10"/>
    </sheetView>
  </sheetViews>
  <sheetFormatPr defaultColWidth="2.7109375" defaultRowHeight="15" x14ac:dyDescent="0.25"/>
  <cols>
    <col min="1" max="4" width="2.7109375" style="1"/>
    <col min="5" max="5" width="2.7109375" style="1" customWidth="1"/>
    <col min="6" max="16384" width="2.7109375" style="1"/>
  </cols>
  <sheetData>
    <row r="1" spans="1:40" x14ac:dyDescent="0.25">
      <c r="F1" s="7"/>
      <c r="G1" s="8"/>
      <c r="H1" s="8"/>
      <c r="I1" s="8"/>
      <c r="J1" s="8"/>
      <c r="K1" s="8"/>
      <c r="L1" s="8"/>
      <c r="M1" s="8"/>
      <c r="N1" s="8"/>
      <c r="O1" s="49">
        <f>SUM(F4:W4)</f>
        <v>35</v>
      </c>
      <c r="P1" s="49"/>
      <c r="Q1" s="49"/>
      <c r="R1" s="8"/>
      <c r="S1" s="8"/>
      <c r="T1" s="8"/>
      <c r="U1" s="8"/>
      <c r="V1" s="8"/>
      <c r="W1" s="9"/>
      <c r="Z1" s="83" t="s">
        <v>0</v>
      </c>
      <c r="AA1" s="83"/>
      <c r="AB1" s="83"/>
      <c r="AC1" s="83"/>
      <c r="AD1" s="83"/>
      <c r="AE1" s="83" t="s">
        <v>1</v>
      </c>
      <c r="AF1" s="83"/>
      <c r="AG1" s="83"/>
      <c r="AH1" s="83"/>
      <c r="AI1" s="83"/>
      <c r="AJ1" s="83" t="s">
        <v>2</v>
      </c>
      <c r="AK1" s="83"/>
      <c r="AL1" s="83"/>
      <c r="AM1" s="83"/>
      <c r="AN1" s="83"/>
    </row>
    <row r="2" spans="1:40" x14ac:dyDescent="0.25">
      <c r="F2" s="2"/>
      <c r="G2" s="3"/>
      <c r="H2" s="3"/>
      <c r="I2" s="3"/>
      <c r="J2" s="3"/>
      <c r="K2" s="3"/>
      <c r="L2" s="3"/>
      <c r="M2" s="3"/>
      <c r="N2" s="3"/>
      <c r="O2" s="49"/>
      <c r="P2" s="49"/>
      <c r="Q2" s="49"/>
      <c r="R2" s="3"/>
      <c r="S2" s="3"/>
      <c r="T2" s="3"/>
      <c r="U2" s="3"/>
      <c r="V2" s="3"/>
      <c r="W2" s="4"/>
      <c r="Y2" s="12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</row>
    <row r="3" spans="1:40" x14ac:dyDescent="0.25">
      <c r="Y3" s="12"/>
      <c r="Z3" s="80" t="s">
        <v>44</v>
      </c>
      <c r="AA3" s="80"/>
      <c r="AB3" s="80"/>
      <c r="AC3" s="80"/>
      <c r="AD3" s="80"/>
      <c r="AE3" s="81">
        <f>SUM(F5+K5+P5)/3</f>
        <v>99.616666666666674</v>
      </c>
      <c r="AF3" s="81"/>
      <c r="AG3" s="81"/>
      <c r="AH3" s="81"/>
      <c r="AI3" s="81"/>
      <c r="AJ3" s="81">
        <f>100-AE3</f>
        <v>0.38333333333332575</v>
      </c>
      <c r="AK3" s="81"/>
      <c r="AL3" s="81"/>
      <c r="AM3" s="81"/>
      <c r="AN3" s="81"/>
    </row>
    <row r="4" spans="1:40" x14ac:dyDescent="0.25">
      <c r="F4" s="82">
        <v>10</v>
      </c>
      <c r="G4" s="82"/>
      <c r="H4" s="82"/>
      <c r="I4" s="82"/>
      <c r="J4" s="82"/>
      <c r="K4" s="82">
        <v>10</v>
      </c>
      <c r="L4" s="82"/>
      <c r="M4" s="82"/>
      <c r="N4" s="82"/>
      <c r="O4" s="82"/>
      <c r="P4" s="82">
        <v>10</v>
      </c>
      <c r="Q4" s="82"/>
      <c r="R4" s="82"/>
      <c r="S4" s="82"/>
      <c r="T4" s="82"/>
      <c r="U4" s="82">
        <v>5</v>
      </c>
      <c r="V4" s="82"/>
      <c r="W4" s="82"/>
      <c r="Y4" s="12"/>
      <c r="Z4" s="80"/>
      <c r="AA4" s="80"/>
      <c r="AB4" s="80"/>
      <c r="AC4" s="80"/>
      <c r="AD4" s="80"/>
      <c r="AE4" s="81"/>
      <c r="AF4" s="81"/>
      <c r="AG4" s="81"/>
      <c r="AH4" s="81"/>
      <c r="AI4" s="81"/>
      <c r="AJ4" s="81"/>
      <c r="AK4" s="81"/>
      <c r="AL4" s="81"/>
      <c r="AM4" s="81"/>
      <c r="AN4" s="81"/>
    </row>
    <row r="5" spans="1:40" x14ac:dyDescent="0.25">
      <c r="B5" s="4"/>
      <c r="C5" s="2"/>
      <c r="E5" s="59">
        <v>5</v>
      </c>
      <c r="F5" s="60">
        <f>100-0.35</f>
        <v>99.65</v>
      </c>
      <c r="G5" s="61"/>
      <c r="H5" s="61"/>
      <c r="I5" s="61"/>
      <c r="J5" s="62"/>
      <c r="K5" s="60">
        <f>100-0.4</f>
        <v>99.6</v>
      </c>
      <c r="L5" s="61"/>
      <c r="M5" s="61"/>
      <c r="N5" s="61"/>
      <c r="O5" s="62"/>
      <c r="P5" s="60">
        <f>100-0.4</f>
        <v>99.6</v>
      </c>
      <c r="Q5" s="61"/>
      <c r="R5" s="61"/>
      <c r="S5" s="61"/>
      <c r="T5" s="62"/>
      <c r="U5" s="60">
        <f>100-0.3</f>
        <v>99.7</v>
      </c>
      <c r="V5" s="61"/>
      <c r="W5" s="62"/>
      <c r="Y5" s="12"/>
      <c r="Z5" s="80" t="s">
        <v>93</v>
      </c>
      <c r="AA5" s="80"/>
      <c r="AB5" s="80"/>
      <c r="AC5" s="80"/>
      <c r="AD5" s="80"/>
      <c r="AE5" s="81">
        <f>U5</f>
        <v>99.7</v>
      </c>
      <c r="AF5" s="81"/>
      <c r="AG5" s="81"/>
      <c r="AH5" s="81"/>
      <c r="AI5" s="81"/>
      <c r="AJ5" s="81">
        <f>100-AE5</f>
        <v>0.29999999999999716</v>
      </c>
      <c r="AK5" s="81"/>
      <c r="AL5" s="81"/>
      <c r="AM5" s="81"/>
      <c r="AN5" s="81"/>
    </row>
    <row r="6" spans="1:40" x14ac:dyDescent="0.25">
      <c r="B6" s="6"/>
      <c r="C6" s="5"/>
      <c r="E6" s="59"/>
      <c r="F6" s="63"/>
      <c r="G6" s="49"/>
      <c r="H6" s="49"/>
      <c r="I6" s="49"/>
      <c r="J6" s="64"/>
      <c r="K6" s="63"/>
      <c r="L6" s="49"/>
      <c r="M6" s="49"/>
      <c r="N6" s="49"/>
      <c r="O6" s="64"/>
      <c r="P6" s="63"/>
      <c r="Q6" s="49"/>
      <c r="R6" s="49"/>
      <c r="S6" s="49"/>
      <c r="T6" s="64"/>
      <c r="U6" s="63"/>
      <c r="V6" s="49"/>
      <c r="W6" s="64"/>
      <c r="Y6" s="12"/>
      <c r="Z6" s="80"/>
      <c r="AA6" s="80"/>
      <c r="AB6" s="80"/>
      <c r="AC6" s="80"/>
      <c r="AD6" s="80"/>
      <c r="AE6" s="81"/>
      <c r="AF6" s="81"/>
      <c r="AG6" s="81"/>
      <c r="AH6" s="81"/>
      <c r="AI6" s="81"/>
      <c r="AJ6" s="81"/>
      <c r="AK6" s="81"/>
      <c r="AL6" s="81"/>
      <c r="AM6" s="81"/>
      <c r="AN6" s="81"/>
    </row>
    <row r="7" spans="1:40" x14ac:dyDescent="0.25">
      <c r="B7" s="6"/>
      <c r="C7" s="5"/>
      <c r="E7" s="59"/>
      <c r="F7" s="65">
        <v>1</v>
      </c>
      <c r="G7" s="66"/>
      <c r="H7" s="66"/>
      <c r="I7" s="66"/>
      <c r="J7" s="67"/>
      <c r="K7" s="65">
        <v>2</v>
      </c>
      <c r="L7" s="66"/>
      <c r="M7" s="66"/>
      <c r="N7" s="66"/>
      <c r="O7" s="67"/>
      <c r="P7" s="65">
        <v>3</v>
      </c>
      <c r="Q7" s="66"/>
      <c r="R7" s="66"/>
      <c r="S7" s="66"/>
      <c r="T7" s="67"/>
      <c r="U7" s="65">
        <v>4</v>
      </c>
      <c r="V7" s="66"/>
      <c r="W7" s="67"/>
      <c r="Y7" s="12"/>
      <c r="Z7" s="80" t="s">
        <v>94</v>
      </c>
      <c r="AA7" s="80"/>
      <c r="AB7" s="80"/>
      <c r="AC7" s="80"/>
      <c r="AD7" s="80"/>
      <c r="AE7" s="81">
        <f>SUM(U8+U13+U18)/3</f>
        <v>99.673333333333332</v>
      </c>
      <c r="AF7" s="81"/>
      <c r="AG7" s="81"/>
      <c r="AH7" s="81"/>
      <c r="AI7" s="81"/>
      <c r="AJ7" s="81">
        <f t="shared" ref="AJ7" si="0">100-AE7</f>
        <v>0.32666666666666799</v>
      </c>
      <c r="AK7" s="81"/>
      <c r="AL7" s="81"/>
      <c r="AM7" s="81"/>
      <c r="AN7" s="81"/>
    </row>
    <row r="8" spans="1:40" x14ac:dyDescent="0.25">
      <c r="B8" s="6"/>
      <c r="C8" s="5"/>
      <c r="E8" s="59">
        <v>10</v>
      </c>
      <c r="F8" s="60">
        <f>100-0.4</f>
        <v>99.6</v>
      </c>
      <c r="G8" s="61"/>
      <c r="H8" s="61"/>
      <c r="I8" s="61"/>
      <c r="J8" s="62"/>
      <c r="K8" s="60">
        <f>SUM(F8+F5+K5)/3-0.15</f>
        <v>99.466666666666669</v>
      </c>
      <c r="L8" s="61"/>
      <c r="M8" s="61"/>
      <c r="N8" s="61"/>
      <c r="O8" s="62"/>
      <c r="P8" s="60">
        <f>SUM(P5+U5+U8)/3-0.55</f>
        <v>99.123333333333335</v>
      </c>
      <c r="Q8" s="61"/>
      <c r="R8" s="61"/>
      <c r="S8" s="61"/>
      <c r="T8" s="62"/>
      <c r="U8" s="60">
        <f>100-0.28</f>
        <v>99.72</v>
      </c>
      <c r="V8" s="61"/>
      <c r="W8" s="62"/>
      <c r="Y8" s="12"/>
      <c r="Z8" s="80"/>
      <c r="AA8" s="80"/>
      <c r="AB8" s="80"/>
      <c r="AC8" s="80"/>
      <c r="AD8" s="80"/>
      <c r="AE8" s="81"/>
      <c r="AF8" s="81"/>
      <c r="AG8" s="81"/>
      <c r="AH8" s="81"/>
      <c r="AI8" s="81"/>
      <c r="AJ8" s="81"/>
      <c r="AK8" s="81"/>
      <c r="AL8" s="81"/>
      <c r="AM8" s="81"/>
      <c r="AN8" s="81"/>
    </row>
    <row r="9" spans="1:40" x14ac:dyDescent="0.25">
      <c r="B9" s="6"/>
      <c r="C9" s="5"/>
      <c r="E9" s="59"/>
      <c r="F9" s="63"/>
      <c r="G9" s="49"/>
      <c r="H9" s="49"/>
      <c r="I9" s="49"/>
      <c r="J9" s="64"/>
      <c r="K9" s="63"/>
      <c r="L9" s="49"/>
      <c r="M9" s="49"/>
      <c r="N9" s="49"/>
      <c r="O9" s="64"/>
      <c r="P9" s="63"/>
      <c r="Q9" s="49"/>
      <c r="R9" s="49"/>
      <c r="S9" s="49"/>
      <c r="T9" s="64"/>
      <c r="U9" s="63"/>
      <c r="V9" s="49"/>
      <c r="W9" s="64"/>
      <c r="Y9" s="12"/>
      <c r="Z9" s="80" t="s">
        <v>65</v>
      </c>
      <c r="AA9" s="80"/>
      <c r="AB9" s="80"/>
      <c r="AC9" s="80"/>
      <c r="AD9" s="80"/>
      <c r="AE9" s="81">
        <f>SUM(P18+K18+F18+F13+F8)/5</f>
        <v>99.610000000000014</v>
      </c>
      <c r="AF9" s="81"/>
      <c r="AG9" s="81"/>
      <c r="AH9" s="81"/>
      <c r="AI9" s="81"/>
      <c r="AJ9" s="81">
        <f t="shared" ref="AJ9" si="1">100-AE9</f>
        <v>0.38999999999998636</v>
      </c>
      <c r="AK9" s="81"/>
      <c r="AL9" s="81"/>
      <c r="AM9" s="81"/>
      <c r="AN9" s="81"/>
    </row>
    <row r="10" spans="1:40" x14ac:dyDescent="0.25">
      <c r="B10" s="6"/>
      <c r="C10" s="5"/>
      <c r="E10" s="59"/>
      <c r="F10" s="63"/>
      <c r="G10" s="49"/>
      <c r="H10" s="49"/>
      <c r="I10" s="49"/>
      <c r="J10" s="64"/>
      <c r="K10" s="63"/>
      <c r="L10" s="49"/>
      <c r="M10" s="49"/>
      <c r="N10" s="49"/>
      <c r="O10" s="64"/>
      <c r="P10" s="63"/>
      <c r="Q10" s="49"/>
      <c r="R10" s="49"/>
      <c r="S10" s="49"/>
      <c r="T10" s="64"/>
      <c r="U10" s="63"/>
      <c r="V10" s="49"/>
      <c r="W10" s="64"/>
      <c r="Y10" s="12"/>
      <c r="Z10" s="80"/>
      <c r="AA10" s="80"/>
      <c r="AB10" s="80"/>
      <c r="AC10" s="80"/>
      <c r="AD10" s="80"/>
      <c r="AE10" s="81"/>
      <c r="AF10" s="81"/>
      <c r="AG10" s="81"/>
      <c r="AH10" s="81"/>
      <c r="AI10" s="81"/>
      <c r="AJ10" s="81"/>
      <c r="AK10" s="81"/>
      <c r="AL10" s="81"/>
      <c r="AM10" s="81"/>
      <c r="AN10" s="81"/>
    </row>
    <row r="11" spans="1:40" ht="15" customHeight="1" x14ac:dyDescent="0.25">
      <c r="B11" s="6"/>
      <c r="C11" s="5"/>
      <c r="E11" s="59"/>
      <c r="F11" s="65">
        <v>12</v>
      </c>
      <c r="G11" s="66"/>
      <c r="H11" s="66"/>
      <c r="I11" s="66"/>
      <c r="J11" s="67"/>
      <c r="K11" s="65">
        <v>13</v>
      </c>
      <c r="L11" s="66"/>
      <c r="M11" s="66"/>
      <c r="N11" s="66"/>
      <c r="O11" s="67"/>
      <c r="P11" s="65">
        <v>14</v>
      </c>
      <c r="Q11" s="66"/>
      <c r="R11" s="66"/>
      <c r="S11" s="66"/>
      <c r="T11" s="67"/>
      <c r="U11" s="65">
        <v>5</v>
      </c>
      <c r="V11" s="66"/>
      <c r="W11" s="67"/>
      <c r="Y11" s="12"/>
      <c r="Z11" s="80" t="s">
        <v>66</v>
      </c>
      <c r="AA11" s="80"/>
      <c r="AB11" s="80"/>
      <c r="AC11" s="80"/>
      <c r="AD11" s="80"/>
      <c r="AE11" s="81">
        <f>SUM(K8+P8+P13+K13)/4</f>
        <v>99.385000000000005</v>
      </c>
      <c r="AF11" s="81"/>
      <c r="AG11" s="81"/>
      <c r="AH11" s="81"/>
      <c r="AI11" s="81"/>
      <c r="AJ11" s="81">
        <f t="shared" ref="AJ11" si="2">100-AE11</f>
        <v>0.61499999999999488</v>
      </c>
      <c r="AK11" s="81"/>
      <c r="AL11" s="81"/>
      <c r="AM11" s="81"/>
      <c r="AN11" s="81"/>
    </row>
    <row r="12" spans="1:40" x14ac:dyDescent="0.25">
      <c r="A12" s="49">
        <f>SUM(E5:E22)</f>
        <v>35</v>
      </c>
      <c r="B12" s="49"/>
      <c r="C12" s="49"/>
      <c r="D12" s="49"/>
      <c r="E12" s="59"/>
      <c r="F12" s="68"/>
      <c r="G12" s="69"/>
      <c r="H12" s="69"/>
      <c r="I12" s="69"/>
      <c r="J12" s="70"/>
      <c r="K12" s="68"/>
      <c r="L12" s="69"/>
      <c r="M12" s="69"/>
      <c r="N12" s="69"/>
      <c r="O12" s="70"/>
      <c r="P12" s="68"/>
      <c r="Q12" s="69"/>
      <c r="R12" s="69"/>
      <c r="S12" s="69"/>
      <c r="T12" s="70"/>
      <c r="U12" s="68"/>
      <c r="V12" s="69"/>
      <c r="W12" s="70"/>
      <c r="Y12" s="12"/>
      <c r="Z12" s="80"/>
      <c r="AA12" s="80"/>
      <c r="AB12" s="80"/>
      <c r="AC12" s="80"/>
      <c r="AD12" s="80"/>
      <c r="AE12" s="81"/>
      <c r="AF12" s="81"/>
      <c r="AG12" s="81"/>
      <c r="AH12" s="81"/>
      <c r="AI12" s="81"/>
      <c r="AJ12" s="81"/>
      <c r="AK12" s="81"/>
      <c r="AL12" s="81"/>
      <c r="AM12" s="81"/>
      <c r="AN12" s="81"/>
    </row>
    <row r="13" spans="1:40" x14ac:dyDescent="0.25">
      <c r="A13" s="49"/>
      <c r="B13" s="49"/>
      <c r="C13" s="49"/>
      <c r="D13" s="49"/>
      <c r="E13" s="59">
        <v>10</v>
      </c>
      <c r="F13" s="60">
        <f>100-0.4</f>
        <v>99.6</v>
      </c>
      <c r="G13" s="61"/>
      <c r="H13" s="61"/>
      <c r="I13" s="61"/>
      <c r="J13" s="62"/>
      <c r="K13" s="60">
        <f>SUM(K18+F18+F13)/3-0.15</f>
        <v>99.449999999999974</v>
      </c>
      <c r="L13" s="61"/>
      <c r="M13" s="61"/>
      <c r="N13" s="61"/>
      <c r="O13" s="62"/>
      <c r="P13" s="60">
        <f>SUM(U13+U18+P18)/3-0.15</f>
        <v>99.500000000000014</v>
      </c>
      <c r="Q13" s="61"/>
      <c r="R13" s="61"/>
      <c r="S13" s="61"/>
      <c r="T13" s="62"/>
      <c r="U13" s="60">
        <f>100-0.35</f>
        <v>99.65</v>
      </c>
      <c r="V13" s="61"/>
      <c r="W13" s="62"/>
      <c r="Y13" s="12"/>
      <c r="Z13" s="131" t="s">
        <v>95</v>
      </c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3"/>
    </row>
    <row r="14" spans="1:40" ht="15" customHeight="1" x14ac:dyDescent="0.25">
      <c r="B14" s="6"/>
      <c r="C14" s="5"/>
      <c r="E14" s="59"/>
      <c r="F14" s="63"/>
      <c r="G14" s="49"/>
      <c r="H14" s="49"/>
      <c r="I14" s="49"/>
      <c r="J14" s="64"/>
      <c r="K14" s="63"/>
      <c r="L14" s="49"/>
      <c r="M14" s="49"/>
      <c r="N14" s="49"/>
      <c r="O14" s="64"/>
      <c r="P14" s="63"/>
      <c r="Q14" s="49"/>
      <c r="R14" s="49"/>
      <c r="S14" s="49"/>
      <c r="T14" s="64"/>
      <c r="U14" s="63"/>
      <c r="V14" s="49"/>
      <c r="W14" s="64"/>
      <c r="Y14" s="12"/>
      <c r="Z14" s="74"/>
      <c r="AA14" s="132"/>
      <c r="AB14" s="132"/>
      <c r="AC14" s="132"/>
      <c r="AD14" s="132"/>
      <c r="AE14" s="132"/>
      <c r="AF14" s="132"/>
      <c r="AG14" s="132"/>
      <c r="AH14" s="132"/>
      <c r="AI14" s="132"/>
      <c r="AJ14" s="132"/>
      <c r="AK14" s="132"/>
      <c r="AL14" s="132"/>
      <c r="AM14" s="132"/>
      <c r="AN14" s="76"/>
    </row>
    <row r="15" spans="1:40" x14ac:dyDescent="0.25">
      <c r="A15" s="10"/>
      <c r="B15" s="6"/>
      <c r="C15" s="5"/>
      <c r="D15" s="12"/>
      <c r="E15" s="59"/>
      <c r="F15" s="63"/>
      <c r="G15" s="49"/>
      <c r="H15" s="49"/>
      <c r="I15" s="49"/>
      <c r="J15" s="64"/>
      <c r="K15" s="63"/>
      <c r="L15" s="49"/>
      <c r="M15" s="49"/>
      <c r="N15" s="49"/>
      <c r="O15" s="64"/>
      <c r="P15" s="63"/>
      <c r="Q15" s="49"/>
      <c r="R15" s="49"/>
      <c r="S15" s="49"/>
      <c r="T15" s="64"/>
      <c r="U15" s="63"/>
      <c r="V15" s="49"/>
      <c r="W15" s="64"/>
      <c r="Y15" s="12"/>
      <c r="Z15" s="74"/>
      <c r="AA15" s="132"/>
      <c r="AB15" s="132"/>
      <c r="AC15" s="132"/>
      <c r="AD15" s="132"/>
      <c r="AE15" s="132"/>
      <c r="AF15" s="132"/>
      <c r="AG15" s="132"/>
      <c r="AH15" s="132"/>
      <c r="AI15" s="132"/>
      <c r="AJ15" s="132"/>
      <c r="AK15" s="132"/>
      <c r="AL15" s="132"/>
      <c r="AM15" s="132"/>
      <c r="AN15" s="76"/>
    </row>
    <row r="16" spans="1:40" x14ac:dyDescent="0.25">
      <c r="B16" s="6"/>
      <c r="C16" s="5"/>
      <c r="E16" s="59"/>
      <c r="F16" s="65">
        <v>11</v>
      </c>
      <c r="G16" s="66"/>
      <c r="H16" s="66"/>
      <c r="I16" s="66"/>
      <c r="J16" s="67"/>
      <c r="K16" s="65">
        <v>16</v>
      </c>
      <c r="L16" s="66"/>
      <c r="M16" s="66"/>
      <c r="N16" s="66"/>
      <c r="O16" s="67"/>
      <c r="P16" s="65">
        <v>15</v>
      </c>
      <c r="Q16" s="66"/>
      <c r="R16" s="66"/>
      <c r="S16" s="66"/>
      <c r="T16" s="67"/>
      <c r="U16" s="65">
        <v>6</v>
      </c>
      <c r="V16" s="66"/>
      <c r="W16" s="67"/>
      <c r="Y16" s="12"/>
      <c r="Z16" s="77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9"/>
    </row>
    <row r="17" spans="1:40" x14ac:dyDescent="0.25">
      <c r="A17" s="10"/>
      <c r="B17" s="6"/>
      <c r="C17" s="5"/>
      <c r="D17" s="12"/>
      <c r="E17" s="59"/>
      <c r="F17" s="68"/>
      <c r="G17" s="69"/>
      <c r="H17" s="69"/>
      <c r="I17" s="69"/>
      <c r="J17" s="70"/>
      <c r="K17" s="68"/>
      <c r="L17" s="69"/>
      <c r="M17" s="69"/>
      <c r="N17" s="69"/>
      <c r="O17" s="70"/>
      <c r="P17" s="68"/>
      <c r="Q17" s="69"/>
      <c r="R17" s="69"/>
      <c r="S17" s="69"/>
      <c r="T17" s="70"/>
      <c r="U17" s="68"/>
      <c r="V17" s="69"/>
      <c r="W17" s="70"/>
      <c r="Y17" s="12"/>
      <c r="Z17" s="50" t="s">
        <v>92</v>
      </c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2"/>
    </row>
    <row r="18" spans="1:40" x14ac:dyDescent="0.25">
      <c r="B18" s="6"/>
      <c r="C18" s="5"/>
      <c r="E18" s="59">
        <v>10</v>
      </c>
      <c r="F18" s="60">
        <f>100-0.38</f>
        <v>99.62</v>
      </c>
      <c r="G18" s="61"/>
      <c r="H18" s="61"/>
      <c r="I18" s="61"/>
      <c r="J18" s="62"/>
      <c r="K18" s="60">
        <f>100-0.42</f>
        <v>99.58</v>
      </c>
      <c r="L18" s="61"/>
      <c r="M18" s="61"/>
      <c r="N18" s="61"/>
      <c r="O18" s="62"/>
      <c r="P18" s="60">
        <f>100-0.35</f>
        <v>99.65</v>
      </c>
      <c r="Q18" s="61"/>
      <c r="R18" s="61"/>
      <c r="S18" s="61"/>
      <c r="T18" s="62"/>
      <c r="U18" s="60">
        <f>100-0.35</f>
        <v>99.65</v>
      </c>
      <c r="V18" s="61"/>
      <c r="W18" s="62"/>
      <c r="Y18" s="12"/>
      <c r="Z18" s="53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5"/>
    </row>
    <row r="19" spans="1:40" x14ac:dyDescent="0.25">
      <c r="B19" s="6"/>
      <c r="C19" s="5"/>
      <c r="E19" s="59"/>
      <c r="F19" s="63"/>
      <c r="G19" s="49"/>
      <c r="H19" s="49"/>
      <c r="I19" s="49"/>
      <c r="J19" s="64"/>
      <c r="K19" s="63"/>
      <c r="L19" s="49"/>
      <c r="M19" s="49"/>
      <c r="N19" s="49"/>
      <c r="O19" s="64"/>
      <c r="P19" s="63"/>
      <c r="Q19" s="49"/>
      <c r="R19" s="49"/>
      <c r="S19" s="49"/>
      <c r="T19" s="64"/>
      <c r="U19" s="63"/>
      <c r="V19" s="49"/>
      <c r="W19" s="64"/>
      <c r="Y19" s="12"/>
      <c r="Z19" s="50" t="s">
        <v>68</v>
      </c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2"/>
    </row>
    <row r="20" spans="1:40" x14ac:dyDescent="0.25">
      <c r="B20" s="6"/>
      <c r="C20" s="5"/>
      <c r="E20" s="59"/>
      <c r="F20" s="63"/>
      <c r="G20" s="49"/>
      <c r="H20" s="49"/>
      <c r="I20" s="49"/>
      <c r="J20" s="64"/>
      <c r="K20" s="63"/>
      <c r="L20" s="49"/>
      <c r="M20" s="49"/>
      <c r="N20" s="49"/>
      <c r="O20" s="64"/>
      <c r="P20" s="63"/>
      <c r="Q20" s="49"/>
      <c r="R20" s="49"/>
      <c r="S20" s="49"/>
      <c r="T20" s="64"/>
      <c r="U20" s="63"/>
      <c r="V20" s="49"/>
      <c r="W20" s="64"/>
      <c r="Y20" s="12"/>
      <c r="Z20" s="53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5"/>
    </row>
    <row r="21" spans="1:40" x14ac:dyDescent="0.25">
      <c r="B21" s="6"/>
      <c r="C21" s="5"/>
      <c r="E21" s="59"/>
      <c r="F21" s="65">
        <v>10</v>
      </c>
      <c r="G21" s="66"/>
      <c r="H21" s="66"/>
      <c r="I21" s="66"/>
      <c r="J21" s="67"/>
      <c r="K21" s="65">
        <v>9</v>
      </c>
      <c r="L21" s="66"/>
      <c r="M21" s="66"/>
      <c r="N21" s="66"/>
      <c r="O21" s="67"/>
      <c r="P21" s="65">
        <v>8</v>
      </c>
      <c r="Q21" s="66"/>
      <c r="R21" s="66"/>
      <c r="S21" s="66"/>
      <c r="T21" s="67"/>
      <c r="U21" s="65">
        <v>7</v>
      </c>
      <c r="V21" s="66"/>
      <c r="W21" s="67"/>
      <c r="Y21" s="12"/>
      <c r="Z21" s="50" t="s">
        <v>69</v>
      </c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2"/>
    </row>
    <row r="22" spans="1:40" x14ac:dyDescent="0.25">
      <c r="B22" s="9"/>
      <c r="C22" s="7"/>
      <c r="E22" s="59"/>
      <c r="F22" s="68"/>
      <c r="G22" s="69"/>
      <c r="H22" s="69"/>
      <c r="I22" s="69"/>
      <c r="J22" s="70"/>
      <c r="K22" s="68"/>
      <c r="L22" s="69"/>
      <c r="M22" s="69"/>
      <c r="N22" s="69"/>
      <c r="O22" s="70"/>
      <c r="P22" s="68"/>
      <c r="Q22" s="69"/>
      <c r="R22" s="69"/>
      <c r="S22" s="69"/>
      <c r="T22" s="70"/>
      <c r="U22" s="68"/>
      <c r="V22" s="69"/>
      <c r="W22" s="70"/>
      <c r="Y22" s="12"/>
      <c r="Z22" s="53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5"/>
    </row>
    <row r="25" spans="1:40" x14ac:dyDescent="0.25">
      <c r="H25" s="7"/>
      <c r="I25" s="8"/>
      <c r="J25" s="8"/>
      <c r="K25" s="8"/>
      <c r="L25" s="8"/>
      <c r="M25" s="8"/>
      <c r="N25" s="8"/>
      <c r="O25" s="8"/>
      <c r="P25" s="8"/>
      <c r="Q25" s="8"/>
      <c r="R25" s="8"/>
      <c r="S25" s="49">
        <f>O1</f>
        <v>35</v>
      </c>
      <c r="T25" s="66"/>
      <c r="U25" s="66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9"/>
    </row>
    <row r="26" spans="1:40" x14ac:dyDescent="0.25">
      <c r="A26" s="12"/>
      <c r="B26" s="12"/>
      <c r="C26" s="12"/>
      <c r="D26" s="12"/>
      <c r="E26" s="12"/>
      <c r="F26" s="12"/>
      <c r="G26" s="12"/>
      <c r="H26" s="18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66"/>
      <c r="T26" s="66"/>
      <c r="U26" s="66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31"/>
      <c r="AG26" s="12"/>
      <c r="AH26" s="12"/>
      <c r="AI26" s="12"/>
      <c r="AJ26" s="12"/>
      <c r="AK26" s="12"/>
      <c r="AL26" s="12"/>
      <c r="AM26" s="12"/>
      <c r="AN26" s="12"/>
    </row>
    <row r="27" spans="1:40" x14ac:dyDescent="0.25">
      <c r="A27" s="56" t="s">
        <v>9</v>
      </c>
      <c r="B27" s="56"/>
      <c r="C27" s="56"/>
      <c r="D27" s="56"/>
      <c r="E27" s="24"/>
      <c r="F27" s="28"/>
      <c r="G27" s="25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4"/>
      <c r="AH27" s="28"/>
      <c r="AI27" s="25"/>
      <c r="AJ27" s="12"/>
      <c r="AK27" s="12"/>
      <c r="AL27" s="26"/>
      <c r="AM27" s="26"/>
      <c r="AN27" s="26"/>
    </row>
    <row r="28" spans="1:40" x14ac:dyDescent="0.25">
      <c r="A28" s="57" t="s">
        <v>10</v>
      </c>
      <c r="B28" s="57"/>
      <c r="C28" s="57"/>
      <c r="D28" s="57"/>
      <c r="E28" s="27"/>
      <c r="F28" s="27"/>
      <c r="G28" s="29"/>
      <c r="H28" s="11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3"/>
      <c r="AG28" s="12"/>
      <c r="AH28" s="12"/>
      <c r="AI28" s="12"/>
      <c r="AJ28" s="31"/>
      <c r="AK28" s="18"/>
      <c r="AL28" s="12"/>
      <c r="AM28" s="12"/>
      <c r="AN28" s="12"/>
    </row>
    <row r="29" spans="1:40" x14ac:dyDescent="0.25">
      <c r="A29" s="47"/>
      <c r="B29" s="47"/>
      <c r="C29" s="47"/>
      <c r="D29" s="47"/>
      <c r="E29" s="23"/>
      <c r="F29" s="23"/>
      <c r="G29" s="30"/>
      <c r="H29" s="14"/>
      <c r="I29" s="15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5"/>
      <c r="AF29" s="16"/>
      <c r="AG29" s="12"/>
      <c r="AH29" s="12"/>
      <c r="AI29" s="49">
        <v>2</v>
      </c>
      <c r="AJ29" s="49"/>
      <c r="AK29" s="49"/>
      <c r="AL29" s="49"/>
      <c r="AM29" s="12"/>
      <c r="AN29" s="12"/>
    </row>
    <row r="30" spans="1:40" x14ac:dyDescent="0.25">
      <c r="A30" s="58" t="s">
        <v>11</v>
      </c>
      <c r="B30" s="58"/>
      <c r="C30" s="58"/>
      <c r="D30" s="58"/>
      <c r="E30" s="12"/>
      <c r="F30" s="12"/>
      <c r="G30" s="12"/>
      <c r="H30" s="12"/>
      <c r="I30" s="13"/>
      <c r="J30" s="11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3"/>
      <c r="AE30" s="12"/>
      <c r="AF30" s="12"/>
      <c r="AG30" s="12"/>
      <c r="AH30" s="12"/>
      <c r="AI30" s="49"/>
      <c r="AJ30" s="49"/>
      <c r="AK30" s="49"/>
      <c r="AL30" s="49"/>
      <c r="AM30" s="12"/>
      <c r="AN30" s="12"/>
    </row>
    <row r="31" spans="1:40" x14ac:dyDescent="0.25">
      <c r="A31" s="47"/>
      <c r="B31" s="47"/>
      <c r="C31" s="47"/>
      <c r="D31" s="47"/>
      <c r="E31" s="23"/>
      <c r="F31" s="23"/>
      <c r="G31" s="23"/>
      <c r="H31" s="23"/>
      <c r="I31" s="30"/>
      <c r="J31" s="14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6"/>
      <c r="AE31" s="12"/>
      <c r="AF31" s="12"/>
      <c r="AG31" s="12"/>
      <c r="AH31" s="12"/>
      <c r="AI31" s="10"/>
      <c r="AJ31" s="129"/>
      <c r="AK31" s="130"/>
      <c r="AL31" s="10"/>
      <c r="AM31" s="12"/>
      <c r="AN31" s="12"/>
    </row>
    <row r="32" spans="1:40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</row>
    <row r="33" spans="1:40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4"/>
      <c r="K33" s="15"/>
      <c r="L33" s="15"/>
      <c r="M33" s="15"/>
      <c r="N33" s="15"/>
      <c r="O33" s="15"/>
      <c r="P33" s="15"/>
      <c r="Q33" s="15"/>
      <c r="R33" s="15"/>
      <c r="S33" s="49">
        <f>S25-2</f>
        <v>33</v>
      </c>
      <c r="T33" s="66"/>
      <c r="U33" s="66"/>
      <c r="V33" s="15"/>
      <c r="W33" s="15"/>
      <c r="X33" s="15"/>
      <c r="Y33" s="15"/>
      <c r="Z33" s="15"/>
      <c r="AA33" s="15"/>
      <c r="AB33" s="15"/>
      <c r="AC33" s="15"/>
      <c r="AD33" s="16"/>
      <c r="AE33" s="12"/>
      <c r="AF33" s="12"/>
      <c r="AG33" s="12"/>
      <c r="AH33" s="12"/>
      <c r="AI33" s="12"/>
      <c r="AJ33" s="12"/>
      <c r="AK33" s="12"/>
      <c r="AL33" s="12"/>
      <c r="AM33" s="12"/>
      <c r="AN33" s="12"/>
    </row>
    <row r="34" spans="1:40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8"/>
      <c r="K34" s="19"/>
      <c r="L34" s="19"/>
      <c r="M34" s="19"/>
      <c r="N34" s="19"/>
      <c r="O34" s="19"/>
      <c r="P34" s="19"/>
      <c r="Q34" s="19"/>
      <c r="R34" s="19"/>
      <c r="S34" s="66"/>
      <c r="T34" s="66"/>
      <c r="U34" s="66"/>
      <c r="V34" s="19"/>
      <c r="W34" s="19"/>
      <c r="X34" s="19"/>
      <c r="Y34" s="19"/>
      <c r="Z34" s="19"/>
      <c r="AA34" s="19"/>
      <c r="AB34" s="19"/>
      <c r="AC34" s="19"/>
      <c r="AD34" s="31"/>
      <c r="AE34" s="12"/>
      <c r="AF34" s="12"/>
      <c r="AG34" s="12"/>
      <c r="AH34" s="12"/>
      <c r="AI34" s="12"/>
      <c r="AJ34" s="12"/>
      <c r="AK34" s="12"/>
      <c r="AL34" s="12"/>
      <c r="AM34" s="12"/>
      <c r="AN34" s="12"/>
    </row>
    <row r="35" spans="1:40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</row>
    <row r="36" spans="1:40" x14ac:dyDescent="0.25">
      <c r="G36" s="12"/>
      <c r="H36" s="12"/>
      <c r="I36" s="12"/>
      <c r="J36" s="12"/>
      <c r="K36" s="12"/>
      <c r="L36" s="12"/>
      <c r="M36" s="12"/>
      <c r="N36" s="12"/>
      <c r="O36" s="12"/>
      <c r="P36" s="12"/>
    </row>
    <row r="37" spans="1:40" ht="15" customHeight="1" x14ac:dyDescent="0.25">
      <c r="A37" s="48" t="s">
        <v>13</v>
      </c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</row>
    <row r="38" spans="1:40" ht="15" customHeight="1" x14ac:dyDescent="0.25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</row>
    <row r="39" spans="1:40" ht="15" customHeight="1" x14ac:dyDescent="0.25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</row>
  </sheetData>
  <mergeCells count="71">
    <mergeCell ref="Z11:AD12"/>
    <mergeCell ref="AE11:AI12"/>
    <mergeCell ref="AJ11:AN12"/>
    <mergeCell ref="Z13:AN16"/>
    <mergeCell ref="S25:U26"/>
    <mergeCell ref="S33:U34"/>
    <mergeCell ref="A37:AN39"/>
    <mergeCell ref="AI29:AL30"/>
    <mergeCell ref="A27:D27"/>
    <mergeCell ref="A28:D29"/>
    <mergeCell ref="Z5:AD6"/>
    <mergeCell ref="AE5:AI6"/>
    <mergeCell ref="AJ5:AN6"/>
    <mergeCell ref="Z7:AD8"/>
    <mergeCell ref="AE7:AI8"/>
    <mergeCell ref="AJ7:AN8"/>
    <mergeCell ref="Z1:AD2"/>
    <mergeCell ref="AE1:AI2"/>
    <mergeCell ref="AJ1:AN2"/>
    <mergeCell ref="Z3:AD4"/>
    <mergeCell ref="AE3:AI4"/>
    <mergeCell ref="AJ3:AN4"/>
    <mergeCell ref="Z9:AD10"/>
    <mergeCell ref="AE9:AI10"/>
    <mergeCell ref="AJ9:AN10"/>
    <mergeCell ref="A30:D31"/>
    <mergeCell ref="Z21:AN22"/>
    <mergeCell ref="E18:E22"/>
    <mergeCell ref="F18:J20"/>
    <mergeCell ref="K18:O20"/>
    <mergeCell ref="P18:T20"/>
    <mergeCell ref="U18:W20"/>
    <mergeCell ref="F21:J22"/>
    <mergeCell ref="K21:O22"/>
    <mergeCell ref="P21:T22"/>
    <mergeCell ref="U21:W22"/>
    <mergeCell ref="F16:J17"/>
    <mergeCell ref="K16:O17"/>
    <mergeCell ref="P16:T17"/>
    <mergeCell ref="U16:W17"/>
    <mergeCell ref="Z17:AN18"/>
    <mergeCell ref="Z19:AN20"/>
    <mergeCell ref="A12:D13"/>
    <mergeCell ref="E13:E17"/>
    <mergeCell ref="F13:J15"/>
    <mergeCell ref="K13:O15"/>
    <mergeCell ref="P13:T15"/>
    <mergeCell ref="U13:W15"/>
    <mergeCell ref="E8:E12"/>
    <mergeCell ref="F8:J10"/>
    <mergeCell ref="K8:O10"/>
    <mergeCell ref="P8:T10"/>
    <mergeCell ref="U8:W10"/>
    <mergeCell ref="F11:J12"/>
    <mergeCell ref="K11:O12"/>
    <mergeCell ref="P11:T12"/>
    <mergeCell ref="U11:W12"/>
    <mergeCell ref="K7:O7"/>
    <mergeCell ref="P7:T7"/>
    <mergeCell ref="U7:W7"/>
    <mergeCell ref="F4:J4"/>
    <mergeCell ref="K4:O4"/>
    <mergeCell ref="P4:T4"/>
    <mergeCell ref="U4:W4"/>
    <mergeCell ref="E5:E7"/>
    <mergeCell ref="F5:J6"/>
    <mergeCell ref="K5:O6"/>
    <mergeCell ref="P5:T6"/>
    <mergeCell ref="U5:W6"/>
    <mergeCell ref="F7:J7"/>
    <mergeCell ref="O1:Q2"/>
  </mergeCells>
  <phoneticPr fontId="1" type="noConversion"/>
  <pageMargins left="0.25" right="0.25" top="0.75" bottom="0.75" header="0.3" footer="0.3"/>
  <pageSetup paperSize="9" scale="9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E1C6E-9FB0-45D4-A51B-B74BE6B48632}">
  <sheetPr>
    <pageSetUpPr fitToPage="1"/>
  </sheetPr>
  <dimension ref="A1:AO43"/>
  <sheetViews>
    <sheetView workbookViewId="0">
      <selection activeCell="AA11" sqref="AA11:AO16"/>
    </sheetView>
  </sheetViews>
  <sheetFormatPr defaultColWidth="2.7109375" defaultRowHeight="15" x14ac:dyDescent="0.25"/>
  <cols>
    <col min="1" max="8" width="2.7109375" style="1"/>
    <col min="9" max="9" width="2.7109375" style="1" customWidth="1"/>
    <col min="10" max="16384" width="2.7109375" style="1"/>
  </cols>
  <sheetData>
    <row r="1" spans="5:41" x14ac:dyDescent="0.25">
      <c r="J1" s="7"/>
      <c r="K1" s="8"/>
      <c r="L1" s="8"/>
      <c r="M1" s="8"/>
      <c r="N1" s="8"/>
      <c r="O1" s="8"/>
      <c r="P1" s="49">
        <f>SUM(J4:W4)</f>
        <v>28</v>
      </c>
      <c r="Q1" s="49"/>
      <c r="R1" s="49"/>
      <c r="S1" s="8"/>
      <c r="T1" s="8"/>
      <c r="U1" s="8"/>
      <c r="V1" s="8"/>
      <c r="W1" s="9"/>
      <c r="AA1" s="83" t="s">
        <v>0</v>
      </c>
      <c r="AB1" s="83"/>
      <c r="AC1" s="83"/>
      <c r="AD1" s="83"/>
      <c r="AE1" s="83"/>
      <c r="AF1" s="83" t="s">
        <v>1</v>
      </c>
      <c r="AG1" s="83"/>
      <c r="AH1" s="83"/>
      <c r="AI1" s="83"/>
      <c r="AJ1" s="83"/>
      <c r="AK1" s="83" t="s">
        <v>2</v>
      </c>
      <c r="AL1" s="83"/>
      <c r="AM1" s="83"/>
      <c r="AN1" s="83"/>
      <c r="AO1" s="83"/>
    </row>
    <row r="2" spans="5:41" x14ac:dyDescent="0.25">
      <c r="J2" s="2"/>
      <c r="K2" s="3"/>
      <c r="L2" s="3"/>
      <c r="M2" s="3"/>
      <c r="N2" s="3"/>
      <c r="O2" s="3"/>
      <c r="P2" s="49"/>
      <c r="Q2" s="49"/>
      <c r="R2" s="49"/>
      <c r="S2" s="3"/>
      <c r="T2" s="3"/>
      <c r="V2" s="3"/>
      <c r="W2" s="4"/>
      <c r="Y2" s="12"/>
      <c r="Z2" s="12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83"/>
    </row>
    <row r="3" spans="5:41" x14ac:dyDescent="0.25">
      <c r="Y3" s="12"/>
      <c r="Z3" s="12"/>
      <c r="AA3" s="80" t="s">
        <v>85</v>
      </c>
      <c r="AB3" s="80"/>
      <c r="AC3" s="80"/>
      <c r="AD3" s="80"/>
      <c r="AE3" s="80"/>
      <c r="AF3" s="81">
        <f>SUM(J5+O5)/2</f>
        <v>98.585000000000008</v>
      </c>
      <c r="AG3" s="81"/>
      <c r="AH3" s="81"/>
      <c r="AI3" s="81"/>
      <c r="AJ3" s="81"/>
      <c r="AK3" s="81">
        <f>100-AF3</f>
        <v>1.414999999999992</v>
      </c>
      <c r="AL3" s="81"/>
      <c r="AM3" s="81"/>
      <c r="AN3" s="81"/>
      <c r="AO3" s="81"/>
    </row>
    <row r="4" spans="5:41" x14ac:dyDescent="0.25">
      <c r="J4" s="82">
        <v>10</v>
      </c>
      <c r="K4" s="82"/>
      <c r="L4" s="82"/>
      <c r="M4" s="82"/>
      <c r="N4" s="82"/>
      <c r="O4" s="82">
        <v>10</v>
      </c>
      <c r="P4" s="82"/>
      <c r="Q4" s="82"/>
      <c r="R4" s="82"/>
      <c r="S4" s="82"/>
      <c r="T4" s="82">
        <v>8</v>
      </c>
      <c r="U4" s="82"/>
      <c r="V4" s="82"/>
      <c r="W4" s="82"/>
      <c r="Y4" s="12"/>
      <c r="Z4" s="12"/>
      <c r="AA4" s="80"/>
      <c r="AB4" s="80"/>
      <c r="AC4" s="80"/>
      <c r="AD4" s="80"/>
      <c r="AE4" s="80"/>
      <c r="AF4" s="81"/>
      <c r="AG4" s="81"/>
      <c r="AH4" s="81"/>
      <c r="AI4" s="81"/>
      <c r="AJ4" s="81"/>
      <c r="AK4" s="81"/>
      <c r="AL4" s="81"/>
      <c r="AM4" s="81"/>
      <c r="AN4" s="81"/>
      <c r="AO4" s="81"/>
    </row>
    <row r="5" spans="5:41" x14ac:dyDescent="0.25">
      <c r="F5" s="4"/>
      <c r="G5" s="2"/>
      <c r="I5" s="59">
        <v>10</v>
      </c>
      <c r="J5" s="60">
        <f>100-1.45</f>
        <v>98.55</v>
      </c>
      <c r="K5" s="61"/>
      <c r="L5" s="61"/>
      <c r="M5" s="61"/>
      <c r="N5" s="62"/>
      <c r="O5" s="60">
        <f>100-1.38</f>
        <v>98.62</v>
      </c>
      <c r="P5" s="61"/>
      <c r="Q5" s="61"/>
      <c r="R5" s="61"/>
      <c r="S5" s="62"/>
      <c r="T5" s="60">
        <f>100-1.43</f>
        <v>98.57</v>
      </c>
      <c r="U5" s="61"/>
      <c r="V5" s="61"/>
      <c r="W5" s="62"/>
      <c r="Y5" s="12"/>
      <c r="Z5" s="12"/>
      <c r="AA5" s="80" t="s">
        <v>86</v>
      </c>
      <c r="AB5" s="80"/>
      <c r="AC5" s="80"/>
      <c r="AD5" s="80"/>
      <c r="AE5" s="80"/>
      <c r="AF5" s="81">
        <f>SUM(T5+T10+T15+T20)/4</f>
        <v>98.547499999999999</v>
      </c>
      <c r="AG5" s="81"/>
      <c r="AH5" s="81"/>
      <c r="AI5" s="81"/>
      <c r="AJ5" s="81"/>
      <c r="AK5" s="81">
        <f t="shared" ref="AK5" si="0">100-AF5</f>
        <v>1.4525000000000006</v>
      </c>
      <c r="AL5" s="81"/>
      <c r="AM5" s="81"/>
      <c r="AN5" s="81"/>
      <c r="AO5" s="81"/>
    </row>
    <row r="6" spans="5:41" x14ac:dyDescent="0.25">
      <c r="F6" s="6"/>
      <c r="G6" s="5"/>
      <c r="I6" s="59"/>
      <c r="J6" s="63"/>
      <c r="K6" s="49"/>
      <c r="L6" s="49"/>
      <c r="M6" s="49"/>
      <c r="N6" s="64"/>
      <c r="O6" s="63"/>
      <c r="P6" s="49"/>
      <c r="Q6" s="49"/>
      <c r="R6" s="49"/>
      <c r="S6" s="64"/>
      <c r="T6" s="63"/>
      <c r="U6" s="49"/>
      <c r="V6" s="49"/>
      <c r="W6" s="64"/>
      <c r="Y6" s="12"/>
      <c r="Z6" s="12"/>
      <c r="AA6" s="80"/>
      <c r="AB6" s="80"/>
      <c r="AC6" s="80"/>
      <c r="AD6" s="80"/>
      <c r="AE6" s="80"/>
      <c r="AF6" s="81"/>
      <c r="AG6" s="81"/>
      <c r="AH6" s="81"/>
      <c r="AI6" s="81"/>
      <c r="AJ6" s="81"/>
      <c r="AK6" s="81"/>
      <c r="AL6" s="81"/>
      <c r="AM6" s="81"/>
      <c r="AN6" s="81"/>
      <c r="AO6" s="81"/>
    </row>
    <row r="7" spans="5:41" ht="15" customHeight="1" x14ac:dyDescent="0.25">
      <c r="F7" s="6"/>
      <c r="G7" s="5"/>
      <c r="I7" s="59"/>
      <c r="J7" s="63"/>
      <c r="K7" s="49"/>
      <c r="L7" s="49"/>
      <c r="M7" s="49"/>
      <c r="N7" s="64"/>
      <c r="O7" s="63"/>
      <c r="P7" s="49"/>
      <c r="Q7" s="49"/>
      <c r="R7" s="49"/>
      <c r="S7" s="64"/>
      <c r="T7" s="63"/>
      <c r="U7" s="49"/>
      <c r="V7" s="49"/>
      <c r="W7" s="64"/>
      <c r="Y7" s="12"/>
      <c r="Z7" s="12"/>
      <c r="AA7" s="80" t="s">
        <v>87</v>
      </c>
      <c r="AB7" s="80"/>
      <c r="AC7" s="80"/>
      <c r="AD7" s="80"/>
      <c r="AE7" s="80"/>
      <c r="AF7" s="81">
        <f>SUM(O20+J20+J15+J10)/4</f>
        <v>98.554999999999993</v>
      </c>
      <c r="AG7" s="81"/>
      <c r="AH7" s="81"/>
      <c r="AI7" s="81"/>
      <c r="AJ7" s="81"/>
      <c r="AK7" s="81">
        <f t="shared" ref="AK7" si="1">100-AF7</f>
        <v>1.4450000000000074</v>
      </c>
      <c r="AL7" s="81"/>
      <c r="AM7" s="81"/>
      <c r="AN7" s="81"/>
      <c r="AO7" s="81"/>
    </row>
    <row r="8" spans="5:41" ht="15" customHeight="1" x14ac:dyDescent="0.25">
      <c r="F8" s="6"/>
      <c r="G8" s="5"/>
      <c r="I8" s="59"/>
      <c r="J8" s="65">
        <v>1</v>
      </c>
      <c r="K8" s="66"/>
      <c r="L8" s="66"/>
      <c r="M8" s="66"/>
      <c r="N8" s="67"/>
      <c r="O8" s="65">
        <v>2</v>
      </c>
      <c r="P8" s="66"/>
      <c r="Q8" s="66"/>
      <c r="R8" s="66"/>
      <c r="S8" s="67"/>
      <c r="T8" s="65">
        <v>3</v>
      </c>
      <c r="U8" s="66"/>
      <c r="V8" s="66"/>
      <c r="W8" s="67"/>
      <c r="Y8" s="12"/>
      <c r="Z8" s="12"/>
      <c r="AA8" s="80"/>
      <c r="AB8" s="80"/>
      <c r="AC8" s="80"/>
      <c r="AD8" s="80"/>
      <c r="AE8" s="80"/>
      <c r="AF8" s="81"/>
      <c r="AG8" s="81"/>
      <c r="AH8" s="81"/>
      <c r="AI8" s="81"/>
      <c r="AJ8" s="81"/>
      <c r="AK8" s="81"/>
      <c r="AL8" s="81"/>
      <c r="AM8" s="81"/>
      <c r="AN8" s="81"/>
      <c r="AO8" s="81"/>
    </row>
    <row r="9" spans="5:41" x14ac:dyDescent="0.25">
      <c r="F9" s="6"/>
      <c r="G9" s="5"/>
      <c r="I9" s="59"/>
      <c r="J9" s="68"/>
      <c r="K9" s="69"/>
      <c r="L9" s="69"/>
      <c r="M9" s="69"/>
      <c r="N9" s="70"/>
      <c r="O9" s="68"/>
      <c r="P9" s="69"/>
      <c r="Q9" s="69"/>
      <c r="R9" s="69"/>
      <c r="S9" s="70"/>
      <c r="T9" s="68"/>
      <c r="U9" s="69"/>
      <c r="V9" s="69"/>
      <c r="W9" s="70"/>
      <c r="Y9" s="12"/>
      <c r="Z9" s="12"/>
      <c r="AA9" s="80" t="s">
        <v>88</v>
      </c>
      <c r="AB9" s="80"/>
      <c r="AC9" s="80"/>
      <c r="AD9" s="80"/>
      <c r="AE9" s="80"/>
      <c r="AF9" s="81">
        <f>SUM(O10+O15)/2</f>
        <v>98.283000000000001</v>
      </c>
      <c r="AG9" s="81"/>
      <c r="AH9" s="81"/>
      <c r="AI9" s="81"/>
      <c r="AJ9" s="81"/>
      <c r="AK9" s="81">
        <f t="shared" ref="AK9" si="2">100-AF9</f>
        <v>1.7169999999999987</v>
      </c>
      <c r="AL9" s="81"/>
      <c r="AM9" s="81"/>
      <c r="AN9" s="81"/>
      <c r="AO9" s="81"/>
    </row>
    <row r="10" spans="5:41" x14ac:dyDescent="0.25">
      <c r="F10" s="6"/>
      <c r="G10" s="5"/>
      <c r="I10" s="59">
        <v>10</v>
      </c>
      <c r="J10" s="60">
        <f>100-1.36</f>
        <v>98.64</v>
      </c>
      <c r="K10" s="61"/>
      <c r="L10" s="61"/>
      <c r="M10" s="61"/>
      <c r="N10" s="62"/>
      <c r="O10" s="60">
        <f>SUM(J10+J5+O5+T5+T10)/5-0.25</f>
        <v>98.33</v>
      </c>
      <c r="P10" s="61"/>
      <c r="Q10" s="61"/>
      <c r="R10" s="61"/>
      <c r="S10" s="62"/>
      <c r="T10" s="60">
        <f>100-1.48</f>
        <v>98.52</v>
      </c>
      <c r="U10" s="61"/>
      <c r="V10" s="61"/>
      <c r="W10" s="62"/>
      <c r="Y10" s="12"/>
      <c r="Z10" s="12"/>
      <c r="AA10" s="80"/>
      <c r="AB10" s="80"/>
      <c r="AC10" s="80"/>
      <c r="AD10" s="80"/>
      <c r="AE10" s="80"/>
      <c r="AF10" s="81"/>
      <c r="AG10" s="81"/>
      <c r="AH10" s="81"/>
      <c r="AI10" s="81"/>
      <c r="AJ10" s="81"/>
      <c r="AK10" s="81"/>
      <c r="AL10" s="81"/>
      <c r="AM10" s="81"/>
      <c r="AN10" s="81"/>
      <c r="AO10" s="81"/>
    </row>
    <row r="11" spans="5:41" x14ac:dyDescent="0.25">
      <c r="F11" s="6"/>
      <c r="G11" s="5"/>
      <c r="I11" s="59"/>
      <c r="J11" s="63"/>
      <c r="K11" s="49"/>
      <c r="L11" s="49"/>
      <c r="M11" s="49"/>
      <c r="N11" s="64"/>
      <c r="O11" s="63"/>
      <c r="P11" s="49"/>
      <c r="Q11" s="49"/>
      <c r="R11" s="49"/>
      <c r="S11" s="64"/>
      <c r="T11" s="63"/>
      <c r="U11" s="49"/>
      <c r="V11" s="49"/>
      <c r="W11" s="64"/>
      <c r="Y11" s="12"/>
      <c r="Z11" s="12"/>
      <c r="AA11" s="71" t="s">
        <v>91</v>
      </c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3"/>
    </row>
    <row r="12" spans="5:41" x14ac:dyDescent="0.25">
      <c r="F12" s="6"/>
      <c r="G12" s="5"/>
      <c r="I12" s="59"/>
      <c r="J12" s="63"/>
      <c r="K12" s="49"/>
      <c r="L12" s="49"/>
      <c r="M12" s="49"/>
      <c r="N12" s="64"/>
      <c r="O12" s="63"/>
      <c r="P12" s="49"/>
      <c r="Q12" s="49"/>
      <c r="R12" s="49"/>
      <c r="S12" s="64"/>
      <c r="T12" s="63"/>
      <c r="U12" s="49"/>
      <c r="V12" s="49"/>
      <c r="W12" s="64"/>
      <c r="Y12" s="12"/>
      <c r="Z12" s="12"/>
      <c r="AA12" s="74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6"/>
    </row>
    <row r="13" spans="5:41" x14ac:dyDescent="0.25">
      <c r="F13" s="6"/>
      <c r="G13" s="5"/>
      <c r="I13" s="59"/>
      <c r="J13" s="65">
        <v>10</v>
      </c>
      <c r="K13" s="66"/>
      <c r="L13" s="66"/>
      <c r="M13" s="66"/>
      <c r="N13" s="67"/>
      <c r="O13" s="65">
        <v>11</v>
      </c>
      <c r="P13" s="66"/>
      <c r="Q13" s="66"/>
      <c r="R13" s="66"/>
      <c r="S13" s="67"/>
      <c r="T13" s="65">
        <v>4</v>
      </c>
      <c r="U13" s="66"/>
      <c r="V13" s="66"/>
      <c r="W13" s="67"/>
      <c r="Y13" s="12"/>
      <c r="Z13" s="12"/>
      <c r="AA13" s="74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76"/>
    </row>
    <row r="14" spans="5:41" x14ac:dyDescent="0.25">
      <c r="E14" s="49">
        <f>SUM(I5:I24)</f>
        <v>40</v>
      </c>
      <c r="F14" s="49"/>
      <c r="G14" s="49"/>
      <c r="H14" s="49"/>
      <c r="I14" s="59"/>
      <c r="J14" s="68"/>
      <c r="K14" s="69"/>
      <c r="L14" s="69"/>
      <c r="M14" s="69"/>
      <c r="N14" s="70"/>
      <c r="O14" s="68"/>
      <c r="P14" s="69"/>
      <c r="Q14" s="69"/>
      <c r="R14" s="69"/>
      <c r="S14" s="70"/>
      <c r="T14" s="68"/>
      <c r="U14" s="69"/>
      <c r="V14" s="69"/>
      <c r="W14" s="70"/>
      <c r="Y14" s="12"/>
      <c r="Z14" s="12"/>
      <c r="AA14" s="74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6"/>
    </row>
    <row r="15" spans="5:41" x14ac:dyDescent="0.25">
      <c r="E15" s="49"/>
      <c r="F15" s="49"/>
      <c r="G15" s="49"/>
      <c r="H15" s="49"/>
      <c r="I15" s="59">
        <v>10</v>
      </c>
      <c r="J15" s="60">
        <f>100-1.46</f>
        <v>98.54</v>
      </c>
      <c r="K15" s="61"/>
      <c r="L15" s="61"/>
      <c r="M15" s="61"/>
      <c r="N15" s="62"/>
      <c r="O15" s="60">
        <f>SUM(O20+J20+J15+T20+T15)/5-0.3</f>
        <v>98.236000000000004</v>
      </c>
      <c r="P15" s="61"/>
      <c r="Q15" s="61"/>
      <c r="R15" s="61"/>
      <c r="S15" s="62"/>
      <c r="T15" s="60">
        <f>100-1.45</f>
        <v>98.55</v>
      </c>
      <c r="U15" s="61"/>
      <c r="V15" s="61"/>
      <c r="W15" s="62"/>
      <c r="Y15" s="12"/>
      <c r="Z15" s="12"/>
      <c r="AA15" s="74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6"/>
    </row>
    <row r="16" spans="5:41" x14ac:dyDescent="0.25">
      <c r="F16" s="6"/>
      <c r="G16" s="5"/>
      <c r="I16" s="59"/>
      <c r="J16" s="63"/>
      <c r="K16" s="49"/>
      <c r="L16" s="49"/>
      <c r="M16" s="49"/>
      <c r="N16" s="64"/>
      <c r="O16" s="63"/>
      <c r="P16" s="49"/>
      <c r="Q16" s="49"/>
      <c r="R16" s="49"/>
      <c r="S16" s="64"/>
      <c r="T16" s="63"/>
      <c r="U16" s="49"/>
      <c r="V16" s="49"/>
      <c r="W16" s="64"/>
      <c r="Y16" s="12"/>
      <c r="Z16" s="12"/>
      <c r="AA16" s="77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9"/>
    </row>
    <row r="17" spans="1:41" x14ac:dyDescent="0.25">
      <c r="E17" s="10"/>
      <c r="F17" s="6"/>
      <c r="G17" s="5"/>
      <c r="H17" s="12"/>
      <c r="I17" s="59"/>
      <c r="J17" s="63"/>
      <c r="K17" s="49"/>
      <c r="L17" s="49"/>
      <c r="M17" s="49"/>
      <c r="N17" s="64"/>
      <c r="O17" s="63"/>
      <c r="P17" s="49"/>
      <c r="Q17" s="49"/>
      <c r="R17" s="49"/>
      <c r="S17" s="64"/>
      <c r="T17" s="63"/>
      <c r="U17" s="49"/>
      <c r="V17" s="49"/>
      <c r="W17" s="64"/>
      <c r="Y17" s="12"/>
      <c r="Z17" s="12"/>
      <c r="AA17" s="50" t="s">
        <v>90</v>
      </c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2"/>
    </row>
    <row r="18" spans="1:41" x14ac:dyDescent="0.25">
      <c r="F18" s="6"/>
      <c r="G18" s="5"/>
      <c r="I18" s="59"/>
      <c r="J18" s="65">
        <v>9</v>
      </c>
      <c r="K18" s="66"/>
      <c r="L18" s="66"/>
      <c r="M18" s="66"/>
      <c r="N18" s="67"/>
      <c r="O18" s="65">
        <v>12</v>
      </c>
      <c r="P18" s="66"/>
      <c r="Q18" s="66"/>
      <c r="R18" s="66"/>
      <c r="S18" s="67"/>
      <c r="T18" s="65">
        <v>5</v>
      </c>
      <c r="U18" s="66"/>
      <c r="V18" s="66"/>
      <c r="W18" s="67"/>
      <c r="Y18" s="12"/>
      <c r="Z18" s="12"/>
      <c r="AA18" s="53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5"/>
    </row>
    <row r="19" spans="1:41" x14ac:dyDescent="0.25">
      <c r="E19" s="10"/>
      <c r="F19" s="6"/>
      <c r="G19" s="5"/>
      <c r="H19" s="12"/>
      <c r="I19" s="59"/>
      <c r="J19" s="68"/>
      <c r="K19" s="69"/>
      <c r="L19" s="69"/>
      <c r="M19" s="69"/>
      <c r="N19" s="70"/>
      <c r="O19" s="68"/>
      <c r="P19" s="69"/>
      <c r="Q19" s="69"/>
      <c r="R19" s="69"/>
      <c r="S19" s="70"/>
      <c r="T19" s="68"/>
      <c r="U19" s="69"/>
      <c r="V19" s="69"/>
      <c r="W19" s="70"/>
      <c r="Y19" s="12"/>
      <c r="Z19" s="12"/>
      <c r="AA19" s="50" t="s">
        <v>68</v>
      </c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2"/>
    </row>
    <row r="20" spans="1:41" x14ac:dyDescent="0.25">
      <c r="F20" s="6"/>
      <c r="G20" s="5"/>
      <c r="I20" s="59">
        <v>10</v>
      </c>
      <c r="J20" s="60">
        <f>100-1.48</f>
        <v>98.52</v>
      </c>
      <c r="K20" s="61"/>
      <c r="L20" s="61"/>
      <c r="M20" s="61"/>
      <c r="N20" s="62"/>
      <c r="O20" s="60">
        <f>100-1.48</f>
        <v>98.52</v>
      </c>
      <c r="P20" s="61"/>
      <c r="Q20" s="61"/>
      <c r="R20" s="61"/>
      <c r="S20" s="62"/>
      <c r="T20" s="60">
        <f>100-1.45</f>
        <v>98.55</v>
      </c>
      <c r="U20" s="61"/>
      <c r="V20" s="61"/>
      <c r="W20" s="62"/>
      <c r="Y20" s="12"/>
      <c r="Z20" s="12"/>
      <c r="AA20" s="53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5"/>
    </row>
    <row r="21" spans="1:41" x14ac:dyDescent="0.25">
      <c r="F21" s="6"/>
      <c r="G21" s="5"/>
      <c r="I21" s="59"/>
      <c r="J21" s="63"/>
      <c r="K21" s="49"/>
      <c r="L21" s="49"/>
      <c r="M21" s="49"/>
      <c r="N21" s="64"/>
      <c r="O21" s="63"/>
      <c r="P21" s="49"/>
      <c r="Q21" s="49"/>
      <c r="R21" s="49"/>
      <c r="S21" s="64"/>
      <c r="T21" s="63"/>
      <c r="U21" s="49"/>
      <c r="V21" s="49"/>
      <c r="W21" s="64"/>
      <c r="Y21" s="12"/>
      <c r="Z21" s="12"/>
      <c r="AA21" s="50" t="s">
        <v>69</v>
      </c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2"/>
    </row>
    <row r="22" spans="1:41" x14ac:dyDescent="0.25">
      <c r="F22" s="6"/>
      <c r="G22" s="5"/>
      <c r="I22" s="59"/>
      <c r="J22" s="63"/>
      <c r="K22" s="49"/>
      <c r="L22" s="49"/>
      <c r="M22" s="49"/>
      <c r="N22" s="64"/>
      <c r="O22" s="63"/>
      <c r="P22" s="49"/>
      <c r="Q22" s="49"/>
      <c r="R22" s="49"/>
      <c r="S22" s="64"/>
      <c r="T22" s="63"/>
      <c r="U22" s="49"/>
      <c r="V22" s="49"/>
      <c r="W22" s="64"/>
      <c r="Y22" s="12"/>
      <c r="Z22" s="12"/>
      <c r="AA22" s="53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5"/>
    </row>
    <row r="23" spans="1:41" x14ac:dyDescent="0.25">
      <c r="F23" s="6"/>
      <c r="G23" s="5"/>
      <c r="I23" s="59"/>
      <c r="J23" s="65">
        <v>8</v>
      </c>
      <c r="K23" s="66"/>
      <c r="L23" s="66"/>
      <c r="M23" s="66"/>
      <c r="N23" s="67"/>
      <c r="O23" s="65">
        <v>7</v>
      </c>
      <c r="P23" s="66"/>
      <c r="Q23" s="66"/>
      <c r="R23" s="66"/>
      <c r="S23" s="67"/>
      <c r="T23" s="65">
        <v>6</v>
      </c>
      <c r="U23" s="66"/>
      <c r="V23" s="66"/>
      <c r="W23" s="67"/>
      <c r="Y23" s="12"/>
      <c r="Z23" s="12"/>
      <c r="AA23" s="50" t="s">
        <v>89</v>
      </c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2"/>
    </row>
    <row r="24" spans="1:41" x14ac:dyDescent="0.25">
      <c r="F24" s="9"/>
      <c r="G24" s="7"/>
      <c r="I24" s="59"/>
      <c r="J24" s="68"/>
      <c r="K24" s="69"/>
      <c r="L24" s="69"/>
      <c r="M24" s="69"/>
      <c r="N24" s="70"/>
      <c r="O24" s="68"/>
      <c r="P24" s="69"/>
      <c r="Q24" s="69"/>
      <c r="R24" s="69"/>
      <c r="S24" s="70"/>
      <c r="T24" s="68"/>
      <c r="U24" s="69"/>
      <c r="V24" s="69"/>
      <c r="W24" s="70"/>
      <c r="Y24" s="12"/>
      <c r="Z24" s="12"/>
      <c r="AA24" s="53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5"/>
    </row>
    <row r="25" spans="1:41" x14ac:dyDescent="0.25"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</row>
    <row r="27" spans="1:41" x14ac:dyDescent="0.25">
      <c r="H27" s="7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49">
        <f>P1</f>
        <v>28</v>
      </c>
      <c r="U27" s="49"/>
      <c r="V27" s="49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9"/>
    </row>
    <row r="28" spans="1:41" x14ac:dyDescent="0.25">
      <c r="A28" s="12"/>
      <c r="B28" s="12"/>
      <c r="C28" s="12"/>
      <c r="D28" s="12"/>
      <c r="E28" s="12"/>
      <c r="F28" s="12"/>
      <c r="G28" s="12"/>
      <c r="H28" s="18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49"/>
      <c r="U28" s="49"/>
      <c r="V28" s="4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31"/>
      <c r="AH28" s="12"/>
      <c r="AI28" s="12"/>
      <c r="AJ28" s="12"/>
      <c r="AK28" s="12"/>
      <c r="AL28" s="12"/>
      <c r="AM28" s="12"/>
      <c r="AN28" s="12"/>
      <c r="AO28" s="12"/>
    </row>
    <row r="29" spans="1:41" x14ac:dyDescent="0.25">
      <c r="A29" s="56" t="s">
        <v>9</v>
      </c>
      <c r="B29" s="56"/>
      <c r="C29" s="56"/>
      <c r="D29" s="56"/>
      <c r="E29" s="24"/>
      <c r="F29" s="28"/>
      <c r="G29" s="25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4"/>
      <c r="AI29" s="28"/>
      <c r="AJ29" s="25"/>
      <c r="AK29" s="12"/>
      <c r="AL29" s="12"/>
      <c r="AM29" s="26"/>
      <c r="AN29" s="26"/>
      <c r="AO29" s="26"/>
    </row>
    <row r="30" spans="1:41" x14ac:dyDescent="0.25">
      <c r="A30" s="57" t="s">
        <v>10</v>
      </c>
      <c r="B30" s="57"/>
      <c r="C30" s="57"/>
      <c r="D30" s="57"/>
      <c r="E30" s="27"/>
      <c r="F30" s="27"/>
      <c r="G30" s="29"/>
      <c r="H30" s="11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3"/>
      <c r="AH30" s="12"/>
      <c r="AI30" s="12"/>
      <c r="AJ30" s="12"/>
      <c r="AK30" s="31"/>
      <c r="AL30" s="18"/>
      <c r="AM30" s="12"/>
      <c r="AN30" s="12"/>
      <c r="AO30" s="12"/>
    </row>
    <row r="31" spans="1:41" x14ac:dyDescent="0.25">
      <c r="A31" s="47"/>
      <c r="B31" s="47"/>
      <c r="C31" s="47"/>
      <c r="D31" s="47"/>
      <c r="E31" s="23"/>
      <c r="F31" s="23"/>
      <c r="G31" s="30"/>
      <c r="H31" s="14"/>
      <c r="I31" s="15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5"/>
      <c r="AG31" s="16"/>
      <c r="AH31" s="12"/>
      <c r="AI31" s="12"/>
      <c r="AJ31" s="12"/>
      <c r="AK31" s="13"/>
      <c r="AL31" s="11"/>
      <c r="AM31" s="12"/>
      <c r="AN31" s="12"/>
      <c r="AO31" s="12"/>
    </row>
    <row r="32" spans="1:41" x14ac:dyDescent="0.25">
      <c r="A32" s="58" t="s">
        <v>11</v>
      </c>
      <c r="B32" s="58"/>
      <c r="C32" s="58"/>
      <c r="D32" s="58"/>
      <c r="E32" s="12"/>
      <c r="F32" s="12"/>
      <c r="G32" s="12"/>
      <c r="H32" s="12"/>
      <c r="I32" s="13"/>
      <c r="J32" s="11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3"/>
      <c r="AF32" s="12"/>
      <c r="AG32" s="12"/>
      <c r="AH32" s="12"/>
      <c r="AI32" s="12"/>
      <c r="AJ32" s="49">
        <v>2.5</v>
      </c>
      <c r="AK32" s="49"/>
      <c r="AL32" s="49"/>
      <c r="AM32" s="49"/>
      <c r="AN32" s="12"/>
      <c r="AO32" s="12"/>
    </row>
    <row r="33" spans="1:41" x14ac:dyDescent="0.25">
      <c r="A33" s="47"/>
      <c r="B33" s="47"/>
      <c r="C33" s="47"/>
      <c r="D33" s="47"/>
      <c r="E33" s="23"/>
      <c r="F33" s="23"/>
      <c r="G33" s="23"/>
      <c r="H33" s="23"/>
      <c r="I33" s="30"/>
      <c r="J33" s="14"/>
      <c r="K33" s="15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5"/>
      <c r="AE33" s="16"/>
      <c r="AF33" s="12"/>
      <c r="AG33" s="12"/>
      <c r="AH33" s="12"/>
      <c r="AI33" s="12"/>
      <c r="AJ33" s="10"/>
      <c r="AK33" s="34"/>
      <c r="AL33" s="33"/>
      <c r="AM33" s="10"/>
      <c r="AN33" s="12"/>
      <c r="AO33" s="12"/>
    </row>
    <row r="34" spans="1:41" ht="7.5" customHeight="1" x14ac:dyDescent="0.25">
      <c r="A34" s="46" t="s">
        <v>14</v>
      </c>
      <c r="B34" s="46"/>
      <c r="C34" s="46"/>
      <c r="D34" s="46"/>
      <c r="E34" s="12"/>
      <c r="F34" s="12"/>
      <c r="G34" s="12"/>
      <c r="H34" s="12"/>
      <c r="I34" s="12"/>
      <c r="J34" s="12"/>
      <c r="K34" s="12"/>
      <c r="L34" s="11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3"/>
      <c r="AD34" s="12"/>
      <c r="AE34" s="12"/>
      <c r="AF34" s="12"/>
      <c r="AG34" s="12"/>
      <c r="AH34" s="12"/>
      <c r="AI34" s="12"/>
      <c r="AJ34" s="33"/>
      <c r="AK34" s="34"/>
      <c r="AL34" s="33"/>
      <c r="AM34" s="33"/>
      <c r="AN34" s="12"/>
      <c r="AO34" s="12"/>
    </row>
    <row r="35" spans="1:41" ht="7.5" customHeight="1" x14ac:dyDescent="0.25">
      <c r="A35" s="47"/>
      <c r="B35" s="47"/>
      <c r="C35" s="47"/>
      <c r="D35" s="47"/>
      <c r="E35" s="23"/>
      <c r="F35" s="23"/>
      <c r="G35" s="23"/>
      <c r="H35" s="23"/>
      <c r="I35" s="23"/>
      <c r="J35" s="23"/>
      <c r="K35" s="30"/>
      <c r="L35" s="14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6"/>
      <c r="AD35" s="12"/>
      <c r="AE35" s="12"/>
      <c r="AF35" s="12"/>
      <c r="AG35" s="12"/>
      <c r="AH35" s="12"/>
      <c r="AI35" s="12"/>
      <c r="AJ35" s="12"/>
      <c r="AK35" s="16"/>
      <c r="AL35" s="14"/>
      <c r="AM35" s="12"/>
      <c r="AN35" s="12"/>
      <c r="AO35" s="12"/>
    </row>
    <row r="36" spans="1:41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</row>
    <row r="37" spans="1:41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4"/>
      <c r="M37" s="15"/>
      <c r="N37" s="15"/>
      <c r="O37" s="15"/>
      <c r="P37" s="15"/>
      <c r="Q37" s="15"/>
      <c r="R37" s="15"/>
      <c r="S37" s="15"/>
      <c r="T37" s="49">
        <f>T27-4</f>
        <v>24</v>
      </c>
      <c r="U37" s="49"/>
      <c r="V37" s="49"/>
      <c r="W37" s="15"/>
      <c r="X37" s="15"/>
      <c r="Y37" s="15"/>
      <c r="Z37" s="15"/>
      <c r="AA37" s="15"/>
      <c r="AB37" s="15"/>
      <c r="AC37" s="16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</row>
    <row r="38" spans="1:41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8"/>
      <c r="M38" s="19"/>
      <c r="N38" s="19"/>
      <c r="O38" s="19"/>
      <c r="P38" s="19"/>
      <c r="Q38" s="19"/>
      <c r="R38" s="19"/>
      <c r="S38" s="19"/>
      <c r="T38" s="49"/>
      <c r="U38" s="49"/>
      <c r="V38" s="49"/>
      <c r="W38" s="19"/>
      <c r="X38" s="19"/>
      <c r="Y38" s="19"/>
      <c r="Z38" s="19"/>
      <c r="AA38" s="19"/>
      <c r="AB38" s="19"/>
      <c r="AC38" s="31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</row>
    <row r="39" spans="1:41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</row>
    <row r="40" spans="1:41" x14ac:dyDescent="0.25"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</row>
    <row r="41" spans="1:41" x14ac:dyDescent="0.25">
      <c r="A41" s="48" t="s">
        <v>13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</row>
    <row r="42" spans="1:41" x14ac:dyDescent="0.25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</row>
    <row r="43" spans="1:41" x14ac:dyDescent="0.25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</row>
  </sheetData>
  <mergeCells count="61">
    <mergeCell ref="AA1:AE2"/>
    <mergeCell ref="AF1:AJ2"/>
    <mergeCell ref="AK1:AO2"/>
    <mergeCell ref="AA3:AE4"/>
    <mergeCell ref="AF3:AJ4"/>
    <mergeCell ref="AK3:AO4"/>
    <mergeCell ref="J4:N4"/>
    <mergeCell ref="O4:S4"/>
    <mergeCell ref="T4:W4"/>
    <mergeCell ref="I5:I9"/>
    <mergeCell ref="J5:N7"/>
    <mergeCell ref="O5:S7"/>
    <mergeCell ref="T5:W7"/>
    <mergeCell ref="J8:N9"/>
    <mergeCell ref="AA5:AE6"/>
    <mergeCell ref="AF5:AJ6"/>
    <mergeCell ref="AK5:AO6"/>
    <mergeCell ref="AA7:AE8"/>
    <mergeCell ref="AF7:AJ8"/>
    <mergeCell ref="AK7:AO8"/>
    <mergeCell ref="AA11:AO16"/>
    <mergeCell ref="J13:N14"/>
    <mergeCell ref="O13:S14"/>
    <mergeCell ref="T13:W14"/>
    <mergeCell ref="O8:S9"/>
    <mergeCell ref="T8:W9"/>
    <mergeCell ref="AA9:AE10"/>
    <mergeCell ref="AF9:AJ10"/>
    <mergeCell ref="AK9:AO10"/>
    <mergeCell ref="E14:H15"/>
    <mergeCell ref="I15:I19"/>
    <mergeCell ref="J15:N17"/>
    <mergeCell ref="O15:S17"/>
    <mergeCell ref="T15:W17"/>
    <mergeCell ref="I10:I14"/>
    <mergeCell ref="J10:N12"/>
    <mergeCell ref="O10:S12"/>
    <mergeCell ref="T10:W12"/>
    <mergeCell ref="O23:S24"/>
    <mergeCell ref="T23:W24"/>
    <mergeCell ref="AA17:AO18"/>
    <mergeCell ref="J18:N19"/>
    <mergeCell ref="O18:S19"/>
    <mergeCell ref="T18:W19"/>
    <mergeCell ref="AA19:AO20"/>
    <mergeCell ref="A34:D35"/>
    <mergeCell ref="A41:AO43"/>
    <mergeCell ref="P1:R2"/>
    <mergeCell ref="T27:V28"/>
    <mergeCell ref="T37:V38"/>
    <mergeCell ref="AA23:AO24"/>
    <mergeCell ref="A29:D29"/>
    <mergeCell ref="A30:D31"/>
    <mergeCell ref="A32:D33"/>
    <mergeCell ref="AJ32:AM32"/>
    <mergeCell ref="I20:I24"/>
    <mergeCell ref="J20:N22"/>
    <mergeCell ref="O20:S22"/>
    <mergeCell ref="T20:W22"/>
    <mergeCell ref="AA21:AO22"/>
    <mergeCell ref="J23:N24"/>
  </mergeCells>
  <pageMargins left="0.25" right="0.25" top="0.75" bottom="0.75" header="0.3" footer="0.3"/>
  <pageSetup paperSize="9" scale="88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D902C-B336-43B1-A776-72985FAD5AEB}">
  <sheetPr>
    <pageSetUpPr fitToPage="1"/>
  </sheetPr>
  <dimension ref="A1:BS31"/>
  <sheetViews>
    <sheetView workbookViewId="0">
      <selection activeCell="Y8" sqref="Y8:AC9"/>
    </sheetView>
  </sheetViews>
  <sheetFormatPr defaultColWidth="2.7109375" defaultRowHeight="15" x14ac:dyDescent="0.25"/>
  <cols>
    <col min="1" max="2" width="2.7109375" style="1"/>
    <col min="3" max="4" width="2.7109375" style="1" customWidth="1"/>
    <col min="5" max="16384" width="2.7109375" style="1"/>
  </cols>
  <sheetData>
    <row r="1" spans="1:71" x14ac:dyDescent="0.25">
      <c r="E1" s="7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49">
        <f>SUM(E4:BB4)</f>
        <v>100</v>
      </c>
      <c r="AC1" s="66"/>
      <c r="AD1" s="66"/>
      <c r="AE1" s="66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9"/>
    </row>
    <row r="2" spans="1:71" x14ac:dyDescent="0.25"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66"/>
      <c r="AC2" s="66"/>
      <c r="AD2" s="66"/>
      <c r="AE2" s="66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4"/>
    </row>
    <row r="3" spans="1:71" x14ac:dyDescent="0.25">
      <c r="E3" s="101">
        <v>100</v>
      </c>
      <c r="F3" s="101"/>
      <c r="G3" s="101"/>
      <c r="H3" s="101"/>
      <c r="I3" s="101"/>
      <c r="J3" s="101">
        <v>100</v>
      </c>
      <c r="K3" s="101"/>
      <c r="L3" s="101"/>
      <c r="M3" s="101"/>
      <c r="N3" s="101"/>
      <c r="O3" s="101">
        <v>100</v>
      </c>
      <c r="P3" s="101"/>
      <c r="Q3" s="101"/>
      <c r="R3" s="101"/>
      <c r="S3" s="101"/>
      <c r="T3" s="101">
        <v>100</v>
      </c>
      <c r="U3" s="101"/>
      <c r="V3" s="101"/>
      <c r="W3" s="101"/>
      <c r="X3" s="101"/>
      <c r="Y3" s="101">
        <v>100</v>
      </c>
      <c r="Z3" s="101"/>
      <c r="AA3" s="101"/>
      <c r="AB3" s="101"/>
      <c r="AC3" s="101"/>
      <c r="AD3" s="101">
        <v>100</v>
      </c>
      <c r="AE3" s="101"/>
      <c r="AF3" s="101"/>
      <c r="AG3" s="101"/>
      <c r="AH3" s="101"/>
      <c r="AI3" s="101">
        <v>100</v>
      </c>
      <c r="AJ3" s="101"/>
      <c r="AK3" s="101"/>
      <c r="AL3" s="101"/>
      <c r="AM3" s="101"/>
      <c r="AN3" s="101">
        <v>100</v>
      </c>
      <c r="AO3" s="101"/>
      <c r="AP3" s="101"/>
      <c r="AQ3" s="101"/>
      <c r="AR3" s="101"/>
      <c r="AS3" s="101">
        <v>100</v>
      </c>
      <c r="AT3" s="101"/>
      <c r="AU3" s="101"/>
      <c r="AV3" s="101"/>
      <c r="AW3" s="101"/>
      <c r="AX3" s="101">
        <v>100</v>
      </c>
      <c r="AY3" s="101"/>
      <c r="AZ3" s="101"/>
      <c r="BA3" s="101"/>
      <c r="BB3" s="101"/>
    </row>
    <row r="4" spans="1:71" x14ac:dyDescent="0.25">
      <c r="E4" s="82">
        <v>10</v>
      </c>
      <c r="F4" s="82"/>
      <c r="G4" s="82"/>
      <c r="H4" s="82"/>
      <c r="I4" s="82"/>
      <c r="J4" s="82">
        <v>10</v>
      </c>
      <c r="K4" s="82"/>
      <c r="L4" s="82"/>
      <c r="M4" s="82"/>
      <c r="N4" s="82"/>
      <c r="O4" s="82">
        <v>10</v>
      </c>
      <c r="P4" s="82"/>
      <c r="Q4" s="82"/>
      <c r="R4" s="82"/>
      <c r="S4" s="82"/>
      <c r="T4" s="82">
        <v>10</v>
      </c>
      <c r="U4" s="82"/>
      <c r="V4" s="82"/>
      <c r="W4" s="82"/>
      <c r="X4" s="82"/>
      <c r="Y4" s="82">
        <v>10</v>
      </c>
      <c r="Z4" s="82"/>
      <c r="AA4" s="82"/>
      <c r="AB4" s="82"/>
      <c r="AC4" s="82"/>
      <c r="AD4" s="82">
        <v>10</v>
      </c>
      <c r="AE4" s="82"/>
      <c r="AF4" s="82"/>
      <c r="AG4" s="82"/>
      <c r="AH4" s="82"/>
      <c r="AI4" s="82">
        <v>10</v>
      </c>
      <c r="AJ4" s="82"/>
      <c r="AK4" s="82"/>
      <c r="AL4" s="82"/>
      <c r="AM4" s="82"/>
      <c r="AN4" s="82">
        <v>10</v>
      </c>
      <c r="AO4" s="82"/>
      <c r="AP4" s="82"/>
      <c r="AQ4" s="82"/>
      <c r="AR4" s="82"/>
      <c r="AS4" s="82">
        <v>10</v>
      </c>
      <c r="AT4" s="82"/>
      <c r="AU4" s="82"/>
      <c r="AV4" s="82"/>
      <c r="AW4" s="82"/>
      <c r="AX4" s="82">
        <v>10</v>
      </c>
      <c r="AY4" s="82"/>
      <c r="AZ4" s="82"/>
      <c r="BA4" s="82"/>
      <c r="BB4" s="82"/>
      <c r="BE4" s="83" t="s">
        <v>0</v>
      </c>
      <c r="BF4" s="83"/>
      <c r="BG4" s="83"/>
      <c r="BH4" s="83"/>
      <c r="BI4" s="83"/>
      <c r="BJ4" s="83" t="s">
        <v>1</v>
      </c>
      <c r="BK4" s="83"/>
      <c r="BL4" s="83"/>
      <c r="BM4" s="83"/>
      <c r="BN4" s="83"/>
      <c r="BO4" s="83" t="s">
        <v>2</v>
      </c>
      <c r="BP4" s="83"/>
      <c r="BQ4" s="83"/>
      <c r="BR4" s="83"/>
      <c r="BS4" s="83"/>
    </row>
    <row r="5" spans="1:71" x14ac:dyDescent="0.25">
      <c r="A5" s="4"/>
      <c r="B5" s="2"/>
      <c r="C5" s="102">
        <v>100</v>
      </c>
      <c r="D5" s="59">
        <v>10</v>
      </c>
      <c r="E5" s="60">
        <f>E3-1.28</f>
        <v>98.72</v>
      </c>
      <c r="F5" s="61"/>
      <c r="G5" s="61"/>
      <c r="H5" s="61"/>
      <c r="I5" s="62"/>
      <c r="J5" s="60">
        <f>J3-1.32</f>
        <v>98.68</v>
      </c>
      <c r="K5" s="61"/>
      <c r="L5" s="61"/>
      <c r="M5" s="61"/>
      <c r="N5" s="62"/>
      <c r="O5" s="60">
        <f>O3-1.32</f>
        <v>98.68</v>
      </c>
      <c r="P5" s="61"/>
      <c r="Q5" s="61"/>
      <c r="R5" s="61"/>
      <c r="S5" s="62"/>
      <c r="T5" s="60">
        <f>T3-1.3</f>
        <v>98.7</v>
      </c>
      <c r="U5" s="61"/>
      <c r="V5" s="61"/>
      <c r="W5" s="61"/>
      <c r="X5" s="62"/>
      <c r="Y5" s="60">
        <f>Y3-1.3</f>
        <v>98.7</v>
      </c>
      <c r="Z5" s="61"/>
      <c r="AA5" s="61"/>
      <c r="AB5" s="61"/>
      <c r="AC5" s="62"/>
      <c r="AD5" s="60">
        <f>AD3-1.34</f>
        <v>98.66</v>
      </c>
      <c r="AE5" s="61"/>
      <c r="AF5" s="61"/>
      <c r="AG5" s="61"/>
      <c r="AH5" s="62"/>
      <c r="AI5" s="60">
        <f>AI3-1.35</f>
        <v>98.65</v>
      </c>
      <c r="AJ5" s="61"/>
      <c r="AK5" s="61"/>
      <c r="AL5" s="61"/>
      <c r="AM5" s="62"/>
      <c r="AN5" s="60">
        <f>AN3-1.38</f>
        <v>98.62</v>
      </c>
      <c r="AO5" s="61"/>
      <c r="AP5" s="61"/>
      <c r="AQ5" s="61"/>
      <c r="AR5" s="62"/>
      <c r="AS5" s="60">
        <f>AS3-1.36</f>
        <v>98.64</v>
      </c>
      <c r="AT5" s="61"/>
      <c r="AU5" s="61"/>
      <c r="AV5" s="61"/>
      <c r="AW5" s="62"/>
      <c r="AX5" s="60">
        <f>AX3-1.33</f>
        <v>98.67</v>
      </c>
      <c r="AY5" s="61"/>
      <c r="AZ5" s="61"/>
      <c r="BA5" s="61"/>
      <c r="BB5" s="62"/>
      <c r="BE5" s="83"/>
      <c r="BF5" s="83"/>
      <c r="BG5" s="83"/>
      <c r="BH5" s="83"/>
      <c r="BI5" s="83"/>
      <c r="BJ5" s="83"/>
      <c r="BK5" s="83"/>
      <c r="BL5" s="83"/>
      <c r="BM5" s="83"/>
      <c r="BN5" s="83"/>
      <c r="BO5" s="83"/>
      <c r="BP5" s="83"/>
      <c r="BQ5" s="83"/>
      <c r="BR5" s="83"/>
      <c r="BS5" s="83"/>
    </row>
    <row r="6" spans="1:71" x14ac:dyDescent="0.25">
      <c r="A6" s="6"/>
      <c r="B6" s="5"/>
      <c r="C6" s="102"/>
      <c r="D6" s="59"/>
      <c r="E6" s="63"/>
      <c r="F6" s="49"/>
      <c r="G6" s="49"/>
      <c r="H6" s="49"/>
      <c r="I6" s="64"/>
      <c r="J6" s="63"/>
      <c r="K6" s="49"/>
      <c r="L6" s="49"/>
      <c r="M6" s="49"/>
      <c r="N6" s="64"/>
      <c r="O6" s="63"/>
      <c r="P6" s="49"/>
      <c r="Q6" s="49"/>
      <c r="R6" s="49"/>
      <c r="S6" s="64"/>
      <c r="T6" s="63"/>
      <c r="U6" s="49"/>
      <c r="V6" s="49"/>
      <c r="W6" s="49"/>
      <c r="X6" s="64"/>
      <c r="Y6" s="63"/>
      <c r="Z6" s="49"/>
      <c r="AA6" s="49"/>
      <c r="AB6" s="49"/>
      <c r="AC6" s="64"/>
      <c r="AD6" s="63"/>
      <c r="AE6" s="49"/>
      <c r="AF6" s="49"/>
      <c r="AG6" s="49"/>
      <c r="AH6" s="64"/>
      <c r="AI6" s="63"/>
      <c r="AJ6" s="49"/>
      <c r="AK6" s="49"/>
      <c r="AL6" s="49"/>
      <c r="AM6" s="64"/>
      <c r="AN6" s="63"/>
      <c r="AO6" s="49"/>
      <c r="AP6" s="49"/>
      <c r="AQ6" s="49"/>
      <c r="AR6" s="64"/>
      <c r="AS6" s="63"/>
      <c r="AT6" s="49"/>
      <c r="AU6" s="49"/>
      <c r="AV6" s="49"/>
      <c r="AW6" s="64"/>
      <c r="AX6" s="63"/>
      <c r="AY6" s="49"/>
      <c r="AZ6" s="49"/>
      <c r="BA6" s="49"/>
      <c r="BB6" s="64"/>
      <c r="BE6" s="80" t="s">
        <v>77</v>
      </c>
      <c r="BF6" s="80"/>
      <c r="BG6" s="80"/>
      <c r="BH6" s="80"/>
      <c r="BI6" s="80"/>
      <c r="BJ6" s="81">
        <f>SUM(E5+J5+O5+T5+Y5+AD5+AI5+AN5+AS5+AX5)/10</f>
        <v>98.671999999999997</v>
      </c>
      <c r="BK6" s="81"/>
      <c r="BL6" s="81"/>
      <c r="BM6" s="81"/>
      <c r="BN6" s="81"/>
      <c r="BO6" s="81">
        <f>100-BJ6</f>
        <v>1.328000000000003</v>
      </c>
      <c r="BP6" s="81"/>
      <c r="BQ6" s="81"/>
      <c r="BR6" s="81"/>
      <c r="BS6" s="81"/>
    </row>
    <row r="7" spans="1:71" x14ac:dyDescent="0.25">
      <c r="A7" s="6"/>
      <c r="B7" s="5"/>
      <c r="C7" s="102"/>
      <c r="D7" s="59"/>
      <c r="E7" s="63"/>
      <c r="F7" s="49"/>
      <c r="G7" s="49"/>
      <c r="H7" s="49"/>
      <c r="I7" s="64"/>
      <c r="J7" s="63"/>
      <c r="K7" s="49"/>
      <c r="L7" s="49"/>
      <c r="M7" s="49"/>
      <c r="N7" s="64"/>
      <c r="O7" s="63"/>
      <c r="P7" s="49"/>
      <c r="Q7" s="49"/>
      <c r="R7" s="49"/>
      <c r="S7" s="64"/>
      <c r="T7" s="63"/>
      <c r="U7" s="49"/>
      <c r="V7" s="49"/>
      <c r="W7" s="49"/>
      <c r="X7" s="64"/>
      <c r="Y7" s="63"/>
      <c r="Z7" s="49"/>
      <c r="AA7" s="49"/>
      <c r="AB7" s="49"/>
      <c r="AC7" s="64"/>
      <c r="AD7" s="63"/>
      <c r="AE7" s="49"/>
      <c r="AF7" s="49"/>
      <c r="AG7" s="49"/>
      <c r="AH7" s="64"/>
      <c r="AI7" s="63"/>
      <c r="AJ7" s="49"/>
      <c r="AK7" s="49"/>
      <c r="AL7" s="49"/>
      <c r="AM7" s="64"/>
      <c r="AN7" s="63"/>
      <c r="AO7" s="49"/>
      <c r="AP7" s="49"/>
      <c r="AQ7" s="49"/>
      <c r="AR7" s="64"/>
      <c r="AS7" s="63"/>
      <c r="AT7" s="49"/>
      <c r="AU7" s="49"/>
      <c r="AV7" s="49"/>
      <c r="AW7" s="64"/>
      <c r="AX7" s="63"/>
      <c r="AY7" s="49"/>
      <c r="AZ7" s="49"/>
      <c r="BA7" s="49"/>
      <c r="BB7" s="64"/>
      <c r="BE7" s="80"/>
      <c r="BF7" s="80"/>
      <c r="BG7" s="80"/>
      <c r="BH7" s="80"/>
      <c r="BI7" s="80"/>
      <c r="BJ7" s="81"/>
      <c r="BK7" s="81"/>
      <c r="BL7" s="81"/>
      <c r="BM7" s="81"/>
      <c r="BN7" s="81"/>
      <c r="BO7" s="81"/>
      <c r="BP7" s="81"/>
      <c r="BQ7" s="81"/>
      <c r="BR7" s="81"/>
      <c r="BS7" s="81"/>
    </row>
    <row r="8" spans="1:71" ht="15" customHeight="1" x14ac:dyDescent="0.25">
      <c r="A8" s="6"/>
      <c r="B8" s="5"/>
      <c r="C8" s="102"/>
      <c r="D8" s="59"/>
      <c r="E8" s="65">
        <v>1</v>
      </c>
      <c r="F8" s="66"/>
      <c r="G8" s="66"/>
      <c r="H8" s="66"/>
      <c r="I8" s="67"/>
      <c r="J8" s="65">
        <v>2</v>
      </c>
      <c r="K8" s="66"/>
      <c r="L8" s="66"/>
      <c r="M8" s="66"/>
      <c r="N8" s="67"/>
      <c r="O8" s="65">
        <v>3</v>
      </c>
      <c r="P8" s="66"/>
      <c r="Q8" s="66"/>
      <c r="R8" s="66"/>
      <c r="S8" s="67"/>
      <c r="T8" s="65">
        <v>4</v>
      </c>
      <c r="U8" s="66"/>
      <c r="V8" s="66"/>
      <c r="W8" s="66"/>
      <c r="X8" s="67"/>
      <c r="Y8" s="65">
        <v>5</v>
      </c>
      <c r="Z8" s="66"/>
      <c r="AA8" s="66"/>
      <c r="AB8" s="66"/>
      <c r="AC8" s="67"/>
      <c r="AD8" s="65">
        <v>6</v>
      </c>
      <c r="AE8" s="66"/>
      <c r="AF8" s="66"/>
      <c r="AG8" s="66"/>
      <c r="AH8" s="67"/>
      <c r="AI8" s="65">
        <v>7</v>
      </c>
      <c r="AJ8" s="66"/>
      <c r="AK8" s="66"/>
      <c r="AL8" s="66"/>
      <c r="AM8" s="67"/>
      <c r="AN8" s="65">
        <v>8</v>
      </c>
      <c r="AO8" s="66"/>
      <c r="AP8" s="66"/>
      <c r="AQ8" s="66"/>
      <c r="AR8" s="67"/>
      <c r="AS8" s="65">
        <v>9</v>
      </c>
      <c r="AT8" s="66"/>
      <c r="AU8" s="66"/>
      <c r="AV8" s="66"/>
      <c r="AW8" s="67"/>
      <c r="AX8" s="65">
        <v>10</v>
      </c>
      <c r="AY8" s="66"/>
      <c r="AZ8" s="66"/>
      <c r="BA8" s="66"/>
      <c r="BB8" s="67"/>
      <c r="BE8" s="95" t="s">
        <v>78</v>
      </c>
      <c r="BF8" s="96"/>
      <c r="BG8" s="96"/>
      <c r="BH8" s="96"/>
      <c r="BI8" s="97"/>
      <c r="BJ8" s="60">
        <f>SUM(E10+J10+O10+T10+Y10+AD10+AI10+AN10+AS10+AX10)/10</f>
        <v>98.715999999999994</v>
      </c>
      <c r="BK8" s="61"/>
      <c r="BL8" s="61"/>
      <c r="BM8" s="61"/>
      <c r="BN8" s="62"/>
      <c r="BO8" s="60">
        <f t="shared" ref="BO8" si="0">100-BJ8</f>
        <v>1.284000000000006</v>
      </c>
      <c r="BP8" s="61"/>
      <c r="BQ8" s="61"/>
      <c r="BR8" s="61"/>
      <c r="BS8" s="62"/>
    </row>
    <row r="9" spans="1:71" x14ac:dyDescent="0.25">
      <c r="A9" s="49">
        <f>SUM(D5:D13)</f>
        <v>18</v>
      </c>
      <c r="B9" s="66"/>
      <c r="C9" s="102"/>
      <c r="D9" s="59"/>
      <c r="E9" s="68"/>
      <c r="F9" s="69"/>
      <c r="G9" s="69"/>
      <c r="H9" s="69"/>
      <c r="I9" s="70"/>
      <c r="J9" s="68"/>
      <c r="K9" s="69"/>
      <c r="L9" s="69"/>
      <c r="M9" s="69"/>
      <c r="N9" s="70"/>
      <c r="O9" s="68"/>
      <c r="P9" s="69"/>
      <c r="Q9" s="69"/>
      <c r="R9" s="69"/>
      <c r="S9" s="70"/>
      <c r="T9" s="68"/>
      <c r="U9" s="69"/>
      <c r="V9" s="69"/>
      <c r="W9" s="69"/>
      <c r="X9" s="70"/>
      <c r="Y9" s="68"/>
      <c r="Z9" s="69"/>
      <c r="AA9" s="69"/>
      <c r="AB9" s="69"/>
      <c r="AC9" s="70"/>
      <c r="AD9" s="68"/>
      <c r="AE9" s="69"/>
      <c r="AF9" s="69"/>
      <c r="AG9" s="69"/>
      <c r="AH9" s="70"/>
      <c r="AI9" s="68"/>
      <c r="AJ9" s="69"/>
      <c r="AK9" s="69"/>
      <c r="AL9" s="69"/>
      <c r="AM9" s="70"/>
      <c r="AN9" s="68"/>
      <c r="AO9" s="69"/>
      <c r="AP9" s="69"/>
      <c r="AQ9" s="69"/>
      <c r="AR9" s="70"/>
      <c r="AS9" s="68"/>
      <c r="AT9" s="69"/>
      <c r="AU9" s="69"/>
      <c r="AV9" s="69"/>
      <c r="AW9" s="70"/>
      <c r="AX9" s="68"/>
      <c r="AY9" s="69"/>
      <c r="AZ9" s="69"/>
      <c r="BA9" s="69"/>
      <c r="BB9" s="70"/>
      <c r="BE9" s="98"/>
      <c r="BF9" s="99"/>
      <c r="BG9" s="99"/>
      <c r="BH9" s="99"/>
      <c r="BI9" s="100"/>
      <c r="BJ9" s="89"/>
      <c r="BK9" s="82"/>
      <c r="BL9" s="82"/>
      <c r="BM9" s="82"/>
      <c r="BN9" s="90"/>
      <c r="BO9" s="89"/>
      <c r="BP9" s="82"/>
      <c r="BQ9" s="82"/>
      <c r="BR9" s="82"/>
      <c r="BS9" s="90"/>
    </row>
    <row r="10" spans="1:71" x14ac:dyDescent="0.25">
      <c r="A10" s="6"/>
      <c r="B10" s="5"/>
      <c r="C10" s="102">
        <v>100</v>
      </c>
      <c r="D10" s="59">
        <v>8</v>
      </c>
      <c r="E10" s="60">
        <f>E3-1.28</f>
        <v>98.72</v>
      </c>
      <c r="F10" s="61"/>
      <c r="G10" s="61"/>
      <c r="H10" s="61"/>
      <c r="I10" s="62"/>
      <c r="J10" s="60">
        <f>J3-1.35</f>
        <v>98.65</v>
      </c>
      <c r="K10" s="61"/>
      <c r="L10" s="61"/>
      <c r="M10" s="61"/>
      <c r="N10" s="62"/>
      <c r="O10" s="60">
        <f>O3-1.35</f>
        <v>98.65</v>
      </c>
      <c r="P10" s="61"/>
      <c r="Q10" s="61"/>
      <c r="R10" s="61"/>
      <c r="S10" s="62"/>
      <c r="T10" s="60">
        <f>T3-1.3</f>
        <v>98.7</v>
      </c>
      <c r="U10" s="61"/>
      <c r="V10" s="61"/>
      <c r="W10" s="61"/>
      <c r="X10" s="62"/>
      <c r="Y10" s="60">
        <f>Y3-1.3</f>
        <v>98.7</v>
      </c>
      <c r="Z10" s="61"/>
      <c r="AA10" s="61"/>
      <c r="AB10" s="61"/>
      <c r="AC10" s="62"/>
      <c r="AD10" s="60">
        <f>AD3-1.27</f>
        <v>98.73</v>
      </c>
      <c r="AE10" s="61"/>
      <c r="AF10" s="61"/>
      <c r="AG10" s="61"/>
      <c r="AH10" s="62"/>
      <c r="AI10" s="60">
        <f>AI3-1.25</f>
        <v>98.75</v>
      </c>
      <c r="AJ10" s="61"/>
      <c r="AK10" s="61"/>
      <c r="AL10" s="61"/>
      <c r="AM10" s="62"/>
      <c r="AN10" s="60">
        <f>AN3-1.25</f>
        <v>98.75</v>
      </c>
      <c r="AO10" s="61"/>
      <c r="AP10" s="61"/>
      <c r="AQ10" s="61"/>
      <c r="AR10" s="62"/>
      <c r="AS10" s="60">
        <f>AS3-1.27</f>
        <v>98.73</v>
      </c>
      <c r="AT10" s="61"/>
      <c r="AU10" s="61"/>
      <c r="AV10" s="61"/>
      <c r="AW10" s="62"/>
      <c r="AX10" s="60">
        <f>AX3-1.22</f>
        <v>98.78</v>
      </c>
      <c r="AY10" s="61"/>
      <c r="AZ10" s="61"/>
      <c r="BA10" s="61"/>
      <c r="BB10" s="62"/>
      <c r="BE10" s="40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2"/>
    </row>
    <row r="11" spans="1:71" x14ac:dyDescent="0.25">
      <c r="A11" s="6"/>
      <c r="B11" s="5"/>
      <c r="C11" s="102"/>
      <c r="D11" s="59"/>
      <c r="E11" s="63"/>
      <c r="F11" s="49"/>
      <c r="G11" s="49"/>
      <c r="H11" s="49"/>
      <c r="I11" s="64"/>
      <c r="J11" s="63"/>
      <c r="K11" s="49"/>
      <c r="L11" s="49"/>
      <c r="M11" s="49"/>
      <c r="N11" s="64"/>
      <c r="O11" s="63"/>
      <c r="P11" s="49"/>
      <c r="Q11" s="49"/>
      <c r="R11" s="49"/>
      <c r="S11" s="64"/>
      <c r="T11" s="63"/>
      <c r="U11" s="49"/>
      <c r="V11" s="49"/>
      <c r="W11" s="49"/>
      <c r="X11" s="64"/>
      <c r="Y11" s="63"/>
      <c r="Z11" s="49"/>
      <c r="AA11" s="49"/>
      <c r="AB11" s="49"/>
      <c r="AC11" s="64"/>
      <c r="AD11" s="63"/>
      <c r="AE11" s="49"/>
      <c r="AF11" s="49"/>
      <c r="AG11" s="49"/>
      <c r="AH11" s="64"/>
      <c r="AI11" s="63"/>
      <c r="AJ11" s="49"/>
      <c r="AK11" s="49"/>
      <c r="AL11" s="49"/>
      <c r="AM11" s="64"/>
      <c r="AN11" s="63"/>
      <c r="AO11" s="49"/>
      <c r="AP11" s="49"/>
      <c r="AQ11" s="49"/>
      <c r="AR11" s="64"/>
      <c r="AS11" s="63"/>
      <c r="AT11" s="49"/>
      <c r="AU11" s="49"/>
      <c r="AV11" s="49"/>
      <c r="AW11" s="64"/>
      <c r="AX11" s="63"/>
      <c r="AY11" s="49"/>
      <c r="AZ11" s="49"/>
      <c r="BA11" s="49"/>
      <c r="BB11" s="64"/>
      <c r="BE11" s="71" t="s">
        <v>79</v>
      </c>
      <c r="BF11" s="72"/>
      <c r="BG11" s="72"/>
      <c r="BH11" s="72"/>
      <c r="BI11" s="72"/>
      <c r="BJ11" s="72"/>
      <c r="BK11" s="72"/>
      <c r="BL11" s="72"/>
      <c r="BM11" s="72"/>
      <c r="BN11" s="72"/>
      <c r="BO11" s="72"/>
      <c r="BP11" s="72"/>
      <c r="BQ11" s="72"/>
      <c r="BR11" s="72"/>
      <c r="BS11" s="73"/>
    </row>
    <row r="12" spans="1:71" x14ac:dyDescent="0.25">
      <c r="A12" s="6"/>
      <c r="B12" s="5"/>
      <c r="C12" s="102"/>
      <c r="D12" s="59"/>
      <c r="E12" s="65">
        <v>20</v>
      </c>
      <c r="F12" s="66"/>
      <c r="G12" s="66"/>
      <c r="H12" s="66"/>
      <c r="I12" s="67"/>
      <c r="J12" s="65">
        <v>19</v>
      </c>
      <c r="K12" s="66"/>
      <c r="L12" s="66"/>
      <c r="M12" s="66"/>
      <c r="N12" s="67"/>
      <c r="O12" s="65">
        <v>18</v>
      </c>
      <c r="P12" s="66"/>
      <c r="Q12" s="66"/>
      <c r="R12" s="66"/>
      <c r="S12" s="67"/>
      <c r="T12" s="65">
        <v>17</v>
      </c>
      <c r="U12" s="66"/>
      <c r="V12" s="66"/>
      <c r="W12" s="66"/>
      <c r="X12" s="67"/>
      <c r="Y12" s="65">
        <v>16</v>
      </c>
      <c r="Z12" s="66"/>
      <c r="AA12" s="66"/>
      <c r="AB12" s="66"/>
      <c r="AC12" s="67"/>
      <c r="AD12" s="65">
        <v>15</v>
      </c>
      <c r="AE12" s="66"/>
      <c r="AF12" s="66"/>
      <c r="AG12" s="66"/>
      <c r="AH12" s="67"/>
      <c r="AI12" s="65">
        <v>14</v>
      </c>
      <c r="AJ12" s="66"/>
      <c r="AK12" s="66"/>
      <c r="AL12" s="66"/>
      <c r="AM12" s="67"/>
      <c r="AN12" s="65">
        <v>13</v>
      </c>
      <c r="AO12" s="66"/>
      <c r="AP12" s="66"/>
      <c r="AQ12" s="66"/>
      <c r="AR12" s="67"/>
      <c r="AS12" s="65">
        <v>12</v>
      </c>
      <c r="AT12" s="66"/>
      <c r="AU12" s="66"/>
      <c r="AV12" s="66"/>
      <c r="AW12" s="67"/>
      <c r="AX12" s="65">
        <v>11</v>
      </c>
      <c r="AY12" s="66"/>
      <c r="AZ12" s="66"/>
      <c r="BA12" s="66"/>
      <c r="BB12" s="67"/>
      <c r="BE12" s="74"/>
      <c r="BF12" s="75"/>
      <c r="BG12" s="75"/>
      <c r="BH12" s="75"/>
      <c r="BI12" s="75"/>
      <c r="BJ12" s="75"/>
      <c r="BK12" s="75"/>
      <c r="BL12" s="75"/>
      <c r="BM12" s="75"/>
      <c r="BN12" s="75"/>
      <c r="BO12" s="75"/>
      <c r="BP12" s="75"/>
      <c r="BQ12" s="75"/>
      <c r="BR12" s="75"/>
      <c r="BS12" s="76"/>
    </row>
    <row r="13" spans="1:71" x14ac:dyDescent="0.25">
      <c r="A13" s="9"/>
      <c r="B13" s="7"/>
      <c r="C13" s="102"/>
      <c r="D13" s="59"/>
      <c r="E13" s="68"/>
      <c r="F13" s="69"/>
      <c r="G13" s="69"/>
      <c r="H13" s="69"/>
      <c r="I13" s="70"/>
      <c r="J13" s="68"/>
      <c r="K13" s="69"/>
      <c r="L13" s="69"/>
      <c r="M13" s="69"/>
      <c r="N13" s="70"/>
      <c r="O13" s="68"/>
      <c r="P13" s="69"/>
      <c r="Q13" s="69"/>
      <c r="R13" s="69"/>
      <c r="S13" s="70"/>
      <c r="T13" s="68"/>
      <c r="U13" s="69"/>
      <c r="V13" s="69"/>
      <c r="W13" s="69"/>
      <c r="X13" s="70"/>
      <c r="Y13" s="68"/>
      <c r="Z13" s="69"/>
      <c r="AA13" s="69"/>
      <c r="AB13" s="69"/>
      <c r="AC13" s="70"/>
      <c r="AD13" s="68"/>
      <c r="AE13" s="69"/>
      <c r="AF13" s="69"/>
      <c r="AG13" s="69"/>
      <c r="AH13" s="70"/>
      <c r="AI13" s="68"/>
      <c r="AJ13" s="69"/>
      <c r="AK13" s="69"/>
      <c r="AL13" s="69"/>
      <c r="AM13" s="70"/>
      <c r="AN13" s="68"/>
      <c r="AO13" s="69"/>
      <c r="AP13" s="69"/>
      <c r="AQ13" s="69"/>
      <c r="AR13" s="70"/>
      <c r="AS13" s="68"/>
      <c r="AT13" s="69"/>
      <c r="AU13" s="69"/>
      <c r="AV13" s="69"/>
      <c r="AW13" s="70"/>
      <c r="AX13" s="68"/>
      <c r="AY13" s="69"/>
      <c r="AZ13" s="69"/>
      <c r="BA13" s="69"/>
      <c r="BB13" s="70"/>
      <c r="BE13" s="74"/>
      <c r="BF13" s="75"/>
      <c r="BG13" s="75"/>
      <c r="BH13" s="75"/>
      <c r="BI13" s="75"/>
      <c r="BJ13" s="75"/>
      <c r="BK13" s="75"/>
      <c r="BL13" s="75"/>
      <c r="BM13" s="75"/>
      <c r="BN13" s="75"/>
      <c r="BO13" s="75"/>
      <c r="BP13" s="75"/>
      <c r="BQ13" s="75"/>
      <c r="BR13" s="75"/>
      <c r="BS13" s="76"/>
    </row>
    <row r="14" spans="1:71" x14ac:dyDescent="0.25">
      <c r="U14" s="12"/>
      <c r="BE14" s="74"/>
      <c r="BF14" s="75"/>
      <c r="BG14" s="75"/>
      <c r="BH14" s="75"/>
      <c r="BI14" s="75"/>
      <c r="BJ14" s="75"/>
      <c r="BK14" s="75"/>
      <c r="BL14" s="75"/>
      <c r="BM14" s="75"/>
      <c r="BN14" s="75"/>
      <c r="BO14" s="75"/>
      <c r="BP14" s="75"/>
      <c r="BQ14" s="75"/>
      <c r="BR14" s="75"/>
      <c r="BS14" s="76"/>
    </row>
    <row r="15" spans="1:71" x14ac:dyDescent="0.25">
      <c r="L15" s="7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49">
        <f>AB1</f>
        <v>100</v>
      </c>
      <c r="AB15" s="49"/>
      <c r="AC15" s="49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9"/>
      <c r="BE15" s="74"/>
      <c r="BF15" s="75"/>
      <c r="BG15" s="75"/>
      <c r="BH15" s="75"/>
      <c r="BI15" s="75"/>
      <c r="BJ15" s="75"/>
      <c r="BK15" s="75"/>
      <c r="BL15" s="75"/>
      <c r="BM15" s="75"/>
      <c r="BN15" s="75"/>
      <c r="BO15" s="75"/>
      <c r="BP15" s="75"/>
      <c r="BQ15" s="75"/>
      <c r="BR15" s="75"/>
      <c r="BS15" s="76"/>
    </row>
    <row r="16" spans="1:71" x14ac:dyDescent="0.25">
      <c r="L16" s="2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49"/>
      <c r="AB16" s="49"/>
      <c r="AC16" s="49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4"/>
      <c r="BE16" s="77"/>
      <c r="BF16" s="78"/>
      <c r="BG16" s="78"/>
      <c r="BH16" s="78"/>
      <c r="BI16" s="78"/>
      <c r="BJ16" s="78"/>
      <c r="BK16" s="78"/>
      <c r="BL16" s="78"/>
      <c r="BM16" s="78"/>
      <c r="BN16" s="78"/>
      <c r="BO16" s="78"/>
      <c r="BP16" s="78"/>
      <c r="BQ16" s="78"/>
      <c r="BR16" s="78"/>
      <c r="BS16" s="79"/>
    </row>
    <row r="17" spans="1:71" x14ac:dyDescent="0.25">
      <c r="E17" s="56" t="s">
        <v>9</v>
      </c>
      <c r="F17" s="56"/>
      <c r="G17" s="56"/>
      <c r="H17" s="56"/>
      <c r="I17" s="24"/>
      <c r="J17" s="28"/>
      <c r="K17" s="25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4"/>
      <c r="AS17" s="28"/>
      <c r="AT17" s="25"/>
      <c r="AU17" s="12"/>
      <c r="AV17" s="12"/>
      <c r="AW17" s="26"/>
      <c r="AX17" s="26"/>
      <c r="AY17" s="26"/>
      <c r="BE17" s="91" t="s">
        <v>80</v>
      </c>
      <c r="BF17" s="92"/>
      <c r="BG17" s="92"/>
      <c r="BH17" s="92"/>
      <c r="BI17" s="92"/>
      <c r="BJ17" s="92"/>
      <c r="BK17" s="84" t="s">
        <v>81</v>
      </c>
      <c r="BL17" s="84"/>
      <c r="BM17" s="84"/>
      <c r="BN17" s="84" t="s">
        <v>82</v>
      </c>
      <c r="BO17" s="84"/>
      <c r="BP17" s="84"/>
      <c r="BQ17" s="84"/>
      <c r="BR17" s="84" t="s">
        <v>83</v>
      </c>
      <c r="BS17" s="87"/>
    </row>
    <row r="18" spans="1:71" x14ac:dyDescent="0.25">
      <c r="E18" s="57" t="s">
        <v>10</v>
      </c>
      <c r="F18" s="57"/>
      <c r="G18" s="57"/>
      <c r="H18" s="57"/>
      <c r="I18" s="27"/>
      <c r="J18" s="27"/>
      <c r="K18" s="29"/>
      <c r="L18" s="11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3"/>
      <c r="AR18" s="12"/>
      <c r="AS18" s="12"/>
      <c r="AT18" s="12"/>
      <c r="AU18" s="31"/>
      <c r="AV18" s="18"/>
      <c r="AW18" s="12"/>
      <c r="AX18" s="12"/>
      <c r="AY18" s="12"/>
      <c r="BE18" s="93"/>
      <c r="BF18" s="94"/>
      <c r="BG18" s="94"/>
      <c r="BH18" s="94"/>
      <c r="BI18" s="94"/>
      <c r="BJ18" s="94"/>
      <c r="BK18" s="85"/>
      <c r="BL18" s="85"/>
      <c r="BM18" s="85"/>
      <c r="BN18" s="86">
        <v>2</v>
      </c>
      <c r="BO18" s="86"/>
      <c r="BP18" s="86"/>
      <c r="BQ18" s="86"/>
      <c r="BR18" s="85"/>
      <c r="BS18" s="88"/>
    </row>
    <row r="19" spans="1:71" x14ac:dyDescent="0.25">
      <c r="E19" s="47"/>
      <c r="F19" s="47"/>
      <c r="G19" s="47"/>
      <c r="H19" s="47"/>
      <c r="I19" s="23"/>
      <c r="J19" s="23"/>
      <c r="K19" s="30"/>
      <c r="L19" s="14"/>
      <c r="M19" s="15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5"/>
      <c r="AQ19" s="16"/>
      <c r="AR19" s="12"/>
      <c r="AS19" s="12"/>
      <c r="AT19" s="10"/>
      <c r="AU19" s="43"/>
      <c r="AV19" s="10"/>
      <c r="AW19" s="10"/>
      <c r="AX19" s="12"/>
      <c r="AY19" s="12"/>
      <c r="BE19" s="50" t="s">
        <v>52</v>
      </c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  <c r="BQ19" s="51"/>
      <c r="BR19" s="51"/>
      <c r="BS19" s="52"/>
    </row>
    <row r="20" spans="1:71" x14ac:dyDescent="0.25">
      <c r="E20" s="58" t="s">
        <v>11</v>
      </c>
      <c r="F20" s="58"/>
      <c r="G20" s="58"/>
      <c r="H20" s="58"/>
      <c r="I20" s="12"/>
      <c r="J20" s="12"/>
      <c r="K20" s="12"/>
      <c r="L20" s="12"/>
      <c r="M20" s="13"/>
      <c r="N20" s="11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3"/>
      <c r="AP20" s="12"/>
      <c r="AQ20" s="12"/>
      <c r="AR20" s="12"/>
      <c r="AS20" s="12"/>
      <c r="AT20" s="49">
        <v>2.5</v>
      </c>
      <c r="AU20" s="49"/>
      <c r="AV20" s="49"/>
      <c r="AW20" s="49"/>
      <c r="AX20" s="12"/>
      <c r="AY20" s="12"/>
      <c r="BE20" s="53"/>
      <c r="BF20" s="54"/>
      <c r="BG20" s="54"/>
      <c r="BH20" s="54"/>
      <c r="BI20" s="54"/>
      <c r="BJ20" s="54"/>
      <c r="BK20" s="54"/>
      <c r="BL20" s="54"/>
      <c r="BM20" s="54"/>
      <c r="BN20" s="54"/>
      <c r="BO20" s="54"/>
      <c r="BP20" s="54"/>
      <c r="BQ20" s="54"/>
      <c r="BR20" s="54"/>
      <c r="BS20" s="55"/>
    </row>
    <row r="21" spans="1:71" x14ac:dyDescent="0.25">
      <c r="E21" s="47"/>
      <c r="F21" s="47"/>
      <c r="G21" s="47"/>
      <c r="H21" s="47"/>
      <c r="I21" s="23"/>
      <c r="J21" s="23"/>
      <c r="K21" s="23"/>
      <c r="L21" s="23"/>
      <c r="M21" s="30"/>
      <c r="N21" s="14"/>
      <c r="O21" s="15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5"/>
      <c r="AO21" s="16"/>
      <c r="AP21" s="12"/>
      <c r="AQ21" s="12"/>
      <c r="AR21" s="12"/>
      <c r="AS21" s="12"/>
      <c r="AT21" s="10"/>
      <c r="AU21" s="34"/>
      <c r="AV21" s="33"/>
      <c r="AW21" s="10"/>
      <c r="AX21" s="12"/>
      <c r="AY21" s="12"/>
      <c r="BE21" s="50" t="s">
        <v>53</v>
      </c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  <c r="BQ21" s="51"/>
      <c r="BR21" s="51"/>
      <c r="BS21" s="52"/>
    </row>
    <row r="22" spans="1:71" ht="7.5" customHeight="1" x14ac:dyDescent="0.25">
      <c r="E22" s="46" t="s">
        <v>14</v>
      </c>
      <c r="F22" s="46"/>
      <c r="G22" s="46"/>
      <c r="H22" s="46"/>
      <c r="I22" s="12"/>
      <c r="J22" s="12"/>
      <c r="K22" s="12"/>
      <c r="L22" s="12"/>
      <c r="M22" s="12"/>
      <c r="N22" s="12"/>
      <c r="O22" s="12"/>
      <c r="P22" s="11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3"/>
      <c r="AN22" s="12"/>
      <c r="AO22" s="12"/>
      <c r="AP22" s="12"/>
      <c r="AQ22" s="12"/>
      <c r="AR22" s="12"/>
      <c r="AS22" s="12"/>
      <c r="AT22" s="33"/>
      <c r="AU22" s="34"/>
      <c r="AV22" s="33"/>
      <c r="AW22" s="33"/>
      <c r="AX22" s="12"/>
      <c r="AY22" s="12"/>
      <c r="BE22" s="53"/>
      <c r="BF22" s="54"/>
      <c r="BG22" s="54"/>
      <c r="BH22" s="54"/>
      <c r="BI22" s="54"/>
      <c r="BJ22" s="54"/>
      <c r="BK22" s="54"/>
      <c r="BL22" s="54"/>
      <c r="BM22" s="54"/>
      <c r="BN22" s="54"/>
      <c r="BO22" s="54"/>
      <c r="BP22" s="54"/>
      <c r="BQ22" s="54"/>
      <c r="BR22" s="54"/>
      <c r="BS22" s="55"/>
    </row>
    <row r="23" spans="1:71" ht="7.5" customHeight="1" x14ac:dyDescent="0.25">
      <c r="E23" s="47"/>
      <c r="F23" s="47"/>
      <c r="G23" s="47"/>
      <c r="H23" s="47"/>
      <c r="I23" s="23"/>
      <c r="J23" s="23"/>
      <c r="K23" s="23"/>
      <c r="L23" s="23"/>
      <c r="M23" s="23"/>
      <c r="N23" s="23"/>
      <c r="O23" s="30"/>
      <c r="P23" s="14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6"/>
      <c r="AN23" s="12"/>
      <c r="AO23" s="12"/>
      <c r="AP23" s="12"/>
      <c r="AQ23" s="12"/>
      <c r="AR23" s="12"/>
      <c r="AS23" s="12"/>
      <c r="AT23" s="12"/>
      <c r="AU23" s="16"/>
      <c r="AV23" s="14"/>
      <c r="AW23" s="12"/>
      <c r="AX23" s="12"/>
      <c r="AY23" s="12"/>
      <c r="BE23" s="50" t="s">
        <v>84</v>
      </c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  <c r="BQ23" s="51"/>
      <c r="BR23" s="51"/>
      <c r="BS23" s="52"/>
    </row>
    <row r="24" spans="1:71" x14ac:dyDescent="0.25"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BE24" s="53"/>
      <c r="BF24" s="54"/>
      <c r="BG24" s="54"/>
      <c r="BH24" s="54"/>
      <c r="BI24" s="54"/>
      <c r="BJ24" s="54"/>
      <c r="BK24" s="54"/>
      <c r="BL24" s="54"/>
      <c r="BM24" s="54"/>
      <c r="BN24" s="54"/>
      <c r="BO24" s="54"/>
      <c r="BP24" s="54"/>
      <c r="BQ24" s="54"/>
      <c r="BR24" s="54"/>
      <c r="BS24" s="55"/>
    </row>
    <row r="25" spans="1:71" x14ac:dyDescent="0.25"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4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49">
        <f>AA15-4</f>
        <v>96</v>
      </c>
      <c r="AB25" s="49"/>
      <c r="AC25" s="49"/>
      <c r="AD25" s="15"/>
      <c r="AE25" s="15"/>
      <c r="AF25" s="15"/>
      <c r="AG25" s="15"/>
      <c r="AH25" s="15"/>
      <c r="AI25" s="15"/>
      <c r="AJ25" s="15"/>
      <c r="AK25" s="15"/>
      <c r="AL25" s="15"/>
      <c r="AM25" s="16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</row>
    <row r="26" spans="1:71" x14ac:dyDescent="0.25"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8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49"/>
      <c r="AB26" s="49"/>
      <c r="AC26" s="49"/>
      <c r="AD26" s="19"/>
      <c r="AE26" s="19"/>
      <c r="AF26" s="19"/>
      <c r="AG26" s="19"/>
      <c r="AH26" s="19"/>
      <c r="AI26" s="19"/>
      <c r="AJ26" s="19"/>
      <c r="AK26" s="19"/>
      <c r="AL26" s="19"/>
      <c r="AM26" s="31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</row>
    <row r="27" spans="1:71" x14ac:dyDescent="0.25"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</row>
    <row r="28" spans="1:71" x14ac:dyDescent="0.25"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</row>
    <row r="29" spans="1:71" ht="15" customHeight="1" x14ac:dyDescent="0.25">
      <c r="A29" s="48" t="s">
        <v>13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</row>
    <row r="30" spans="1:71" ht="15" customHeight="1" x14ac:dyDescent="0.25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</row>
    <row r="31" spans="1:71" ht="15" customHeight="1" x14ac:dyDescent="0.25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</row>
  </sheetData>
  <mergeCells count="92">
    <mergeCell ref="O5:S7"/>
    <mergeCell ref="E8:I9"/>
    <mergeCell ref="Y12:AC13"/>
    <mergeCell ref="AD12:AH13"/>
    <mergeCell ref="AI12:AM13"/>
    <mergeCell ref="AN12:AR13"/>
    <mergeCell ref="J8:N9"/>
    <mergeCell ref="O8:S9"/>
    <mergeCell ref="AI8:AM9"/>
    <mergeCell ref="AN8:AR9"/>
    <mergeCell ref="T12:X13"/>
    <mergeCell ref="D10:D13"/>
    <mergeCell ref="E10:I11"/>
    <mergeCell ref="J10:N11"/>
    <mergeCell ref="O10:S11"/>
    <mergeCell ref="E12:I13"/>
    <mergeCell ref="J12:N13"/>
    <mergeCell ref="O12:S13"/>
    <mergeCell ref="AI10:AM11"/>
    <mergeCell ref="AN10:AR11"/>
    <mergeCell ref="AS10:AW11"/>
    <mergeCell ref="AI4:AM4"/>
    <mergeCell ref="AN4:AR4"/>
    <mergeCell ref="AS4:AW4"/>
    <mergeCell ref="AI5:AM7"/>
    <mergeCell ref="AN5:AR7"/>
    <mergeCell ref="AS5:AW7"/>
    <mergeCell ref="AS12:AW13"/>
    <mergeCell ref="AX4:BB4"/>
    <mergeCell ref="AX5:BB7"/>
    <mergeCell ref="AX8:BB9"/>
    <mergeCell ref="AX10:BB11"/>
    <mergeCell ref="AX12:BB13"/>
    <mergeCell ref="AS8:AW9"/>
    <mergeCell ref="C10:C13"/>
    <mergeCell ref="AB1:AE2"/>
    <mergeCell ref="A9:B9"/>
    <mergeCell ref="E3:I3"/>
    <mergeCell ref="J3:N3"/>
    <mergeCell ref="O3:S3"/>
    <mergeCell ref="T3:X3"/>
    <mergeCell ref="Y3:AC3"/>
    <mergeCell ref="AD3:AH3"/>
    <mergeCell ref="T10:X11"/>
    <mergeCell ref="Y10:AC11"/>
    <mergeCell ref="AD10:AH11"/>
    <mergeCell ref="T5:X7"/>
    <mergeCell ref="Y5:AC7"/>
    <mergeCell ref="AD5:AH7"/>
    <mergeCell ref="T4:X4"/>
    <mergeCell ref="AI3:AM3"/>
    <mergeCell ref="AN3:AR3"/>
    <mergeCell ref="AS3:AW3"/>
    <mergeCell ref="AX3:BB3"/>
    <mergeCell ref="C5:C9"/>
    <mergeCell ref="Y4:AC4"/>
    <mergeCell ref="AD4:AH4"/>
    <mergeCell ref="T8:X9"/>
    <mergeCell ref="Y8:AC9"/>
    <mergeCell ref="AD8:AH9"/>
    <mergeCell ref="E4:I4"/>
    <mergeCell ref="J4:N4"/>
    <mergeCell ref="O4:S4"/>
    <mergeCell ref="D5:D9"/>
    <mergeCell ref="E5:I7"/>
    <mergeCell ref="J5:N7"/>
    <mergeCell ref="AT20:AW20"/>
    <mergeCell ref="E22:H23"/>
    <mergeCell ref="AA25:AC26"/>
    <mergeCell ref="A29:BS31"/>
    <mergeCell ref="E17:H17"/>
    <mergeCell ref="E18:H19"/>
    <mergeCell ref="E20:H21"/>
    <mergeCell ref="BE4:BI5"/>
    <mergeCell ref="BJ4:BN5"/>
    <mergeCell ref="BO4:BS5"/>
    <mergeCell ref="BE6:BI7"/>
    <mergeCell ref="BJ6:BN7"/>
    <mergeCell ref="BO6:BS7"/>
    <mergeCell ref="BO8:BS9"/>
    <mergeCell ref="BE11:BS16"/>
    <mergeCell ref="BE19:BS20"/>
    <mergeCell ref="BE21:BS22"/>
    <mergeCell ref="BE23:BS24"/>
    <mergeCell ref="BE17:BJ18"/>
    <mergeCell ref="BE8:BI9"/>
    <mergeCell ref="BJ8:BN9"/>
    <mergeCell ref="BK17:BM18"/>
    <mergeCell ref="BN17:BQ17"/>
    <mergeCell ref="BN18:BQ18"/>
    <mergeCell ref="BR17:BS18"/>
    <mergeCell ref="AA15:AC16"/>
  </mergeCells>
  <pageMargins left="0.7" right="0.7" top="0.75" bottom="0.75" header="0.3" footer="0.3"/>
  <pageSetup paperSize="9" scale="6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18D92-5BA6-45C1-A031-260180ADFE8A}">
  <sheetPr>
    <pageSetUpPr fitToPage="1"/>
  </sheetPr>
  <dimension ref="A1:AU45"/>
  <sheetViews>
    <sheetView topLeftCell="A13" workbookViewId="0">
      <selection activeCell="A30" sqref="A30:AT42"/>
    </sheetView>
  </sheetViews>
  <sheetFormatPr defaultColWidth="2.7109375" defaultRowHeight="15" x14ac:dyDescent="0.25"/>
  <cols>
    <col min="1" max="8" width="2.7109375" style="1"/>
    <col min="9" max="9" width="2.7109375" style="1" customWidth="1"/>
    <col min="10" max="16384" width="2.7109375" style="1"/>
  </cols>
  <sheetData>
    <row r="1" spans="6:47" x14ac:dyDescent="0.25">
      <c r="J1" s="7"/>
      <c r="K1" s="8"/>
      <c r="L1" s="8"/>
      <c r="M1" s="8"/>
      <c r="N1" s="8"/>
      <c r="O1" s="8"/>
      <c r="P1" s="8"/>
      <c r="Q1" s="8"/>
      <c r="R1" s="8"/>
      <c r="S1" s="8"/>
      <c r="T1" s="49">
        <f>SUM(J4:AC4)</f>
        <v>40</v>
      </c>
      <c r="U1" s="49"/>
      <c r="V1" s="49"/>
      <c r="W1" s="8"/>
      <c r="X1" s="8"/>
      <c r="Y1" s="8"/>
      <c r="Z1" s="8"/>
      <c r="AA1" s="8"/>
      <c r="AB1" s="8"/>
      <c r="AC1" s="9"/>
      <c r="AG1" s="83" t="s">
        <v>0</v>
      </c>
      <c r="AH1" s="83"/>
      <c r="AI1" s="83"/>
      <c r="AJ1" s="83"/>
      <c r="AK1" s="83"/>
      <c r="AL1" s="83" t="s">
        <v>1</v>
      </c>
      <c r="AM1" s="83"/>
      <c r="AN1" s="83"/>
      <c r="AO1" s="83"/>
      <c r="AP1" s="83"/>
      <c r="AQ1" s="83" t="s">
        <v>2</v>
      </c>
      <c r="AR1" s="83"/>
      <c r="AS1" s="83"/>
      <c r="AT1" s="83"/>
      <c r="AU1" s="83"/>
    </row>
    <row r="2" spans="6:47" x14ac:dyDescent="0.25">
      <c r="J2" s="2"/>
      <c r="K2" s="3"/>
      <c r="L2" s="3"/>
      <c r="M2" s="3"/>
      <c r="N2" s="3"/>
      <c r="O2" s="3"/>
      <c r="P2" s="3"/>
      <c r="Q2" s="3"/>
      <c r="R2" s="3"/>
      <c r="S2" s="3"/>
      <c r="T2" s="49"/>
      <c r="U2" s="49"/>
      <c r="V2" s="49"/>
      <c r="W2" s="3"/>
      <c r="X2" s="3"/>
      <c r="Y2" s="3"/>
      <c r="Z2" s="3"/>
      <c r="AA2" s="3"/>
      <c r="AB2" s="3"/>
      <c r="AC2" s="4"/>
      <c r="AE2" s="12"/>
      <c r="AF2" s="12"/>
      <c r="AG2" s="83"/>
      <c r="AH2" s="83"/>
      <c r="AI2" s="83"/>
      <c r="AJ2" s="83"/>
      <c r="AK2" s="83"/>
      <c r="AL2" s="83"/>
      <c r="AM2" s="83"/>
      <c r="AN2" s="83"/>
      <c r="AO2" s="83"/>
      <c r="AP2" s="83"/>
      <c r="AQ2" s="83"/>
      <c r="AR2" s="83"/>
      <c r="AS2" s="83"/>
      <c r="AT2" s="83"/>
      <c r="AU2" s="83"/>
    </row>
    <row r="3" spans="6:47" x14ac:dyDescent="0.25">
      <c r="AE3" s="12"/>
      <c r="AF3" s="12"/>
      <c r="AG3" s="80" t="s">
        <v>58</v>
      </c>
      <c r="AH3" s="80"/>
      <c r="AI3" s="80"/>
      <c r="AJ3" s="80"/>
      <c r="AK3" s="80"/>
      <c r="AL3" s="81">
        <f>SUM(J5+O5+T5+Y5)/4</f>
        <v>99.092500000000001</v>
      </c>
      <c r="AM3" s="81"/>
      <c r="AN3" s="81"/>
      <c r="AO3" s="81"/>
      <c r="AP3" s="81"/>
      <c r="AQ3" s="81">
        <f>100-AL3</f>
        <v>0.90749999999999886</v>
      </c>
      <c r="AR3" s="81"/>
      <c r="AS3" s="81"/>
      <c r="AT3" s="81"/>
      <c r="AU3" s="81"/>
    </row>
    <row r="4" spans="6:47" x14ac:dyDescent="0.25">
      <c r="J4" s="82">
        <v>10</v>
      </c>
      <c r="K4" s="82"/>
      <c r="L4" s="82"/>
      <c r="M4" s="82"/>
      <c r="N4" s="82"/>
      <c r="O4" s="82">
        <v>10</v>
      </c>
      <c r="P4" s="82"/>
      <c r="Q4" s="82"/>
      <c r="R4" s="82"/>
      <c r="S4" s="82"/>
      <c r="T4" s="82">
        <v>10</v>
      </c>
      <c r="U4" s="82"/>
      <c r="V4" s="82"/>
      <c r="W4" s="82"/>
      <c r="X4" s="82"/>
      <c r="Y4" s="82">
        <v>10</v>
      </c>
      <c r="Z4" s="82"/>
      <c r="AA4" s="82"/>
      <c r="AB4" s="82"/>
      <c r="AC4" s="82"/>
      <c r="AE4" s="12"/>
      <c r="AF4" s="12"/>
      <c r="AG4" s="80"/>
      <c r="AH4" s="80"/>
      <c r="AI4" s="80"/>
      <c r="AJ4" s="80"/>
      <c r="AK4" s="80"/>
      <c r="AL4" s="81"/>
      <c r="AM4" s="81"/>
      <c r="AN4" s="81"/>
      <c r="AO4" s="81"/>
      <c r="AP4" s="81"/>
      <c r="AQ4" s="81"/>
      <c r="AR4" s="81"/>
      <c r="AS4" s="81"/>
      <c r="AT4" s="81"/>
      <c r="AU4" s="81"/>
    </row>
    <row r="5" spans="6:47" x14ac:dyDescent="0.25">
      <c r="F5" s="4"/>
      <c r="G5" s="2"/>
      <c r="I5" s="59">
        <v>5</v>
      </c>
      <c r="J5" s="60">
        <f>100-0.85</f>
        <v>99.15</v>
      </c>
      <c r="K5" s="61"/>
      <c r="L5" s="61"/>
      <c r="M5" s="61"/>
      <c r="N5" s="62"/>
      <c r="O5" s="60">
        <f>100-0.95</f>
        <v>99.05</v>
      </c>
      <c r="P5" s="61"/>
      <c r="Q5" s="61"/>
      <c r="R5" s="61"/>
      <c r="S5" s="62"/>
      <c r="T5" s="60">
        <f>100-0.95</f>
        <v>99.05</v>
      </c>
      <c r="U5" s="61"/>
      <c r="V5" s="61"/>
      <c r="W5" s="61"/>
      <c r="X5" s="62"/>
      <c r="Y5" s="60">
        <f>100-0.88</f>
        <v>99.12</v>
      </c>
      <c r="Z5" s="61"/>
      <c r="AA5" s="61"/>
      <c r="AB5" s="61"/>
      <c r="AC5" s="62"/>
      <c r="AE5" s="12"/>
      <c r="AF5" s="12"/>
      <c r="AG5" s="80" t="s">
        <v>59</v>
      </c>
      <c r="AH5" s="80"/>
      <c r="AI5" s="80"/>
      <c r="AJ5" s="80"/>
      <c r="AK5" s="80"/>
      <c r="AL5" s="81">
        <f>SUM(Y8+Y13+Y18+Y23+T23+O23+J23+J18+J13+J8)/10</f>
        <v>99.10499999999999</v>
      </c>
      <c r="AM5" s="81"/>
      <c r="AN5" s="81"/>
      <c r="AO5" s="81"/>
      <c r="AP5" s="81"/>
      <c r="AQ5" s="81">
        <f t="shared" ref="AQ5" si="0">100-AL5</f>
        <v>0.89500000000001023</v>
      </c>
      <c r="AR5" s="81"/>
      <c r="AS5" s="81"/>
      <c r="AT5" s="81"/>
      <c r="AU5" s="81"/>
    </row>
    <row r="6" spans="6:47" ht="15" customHeight="1" x14ac:dyDescent="0.25">
      <c r="F6" s="6"/>
      <c r="G6" s="5"/>
      <c r="I6" s="59"/>
      <c r="J6" s="63"/>
      <c r="K6" s="49"/>
      <c r="L6" s="49"/>
      <c r="M6" s="49"/>
      <c r="N6" s="64"/>
      <c r="O6" s="63"/>
      <c r="P6" s="49"/>
      <c r="Q6" s="49"/>
      <c r="R6" s="49"/>
      <c r="S6" s="64"/>
      <c r="T6" s="63"/>
      <c r="U6" s="49"/>
      <c r="V6" s="49"/>
      <c r="W6" s="49"/>
      <c r="X6" s="64"/>
      <c r="Y6" s="63"/>
      <c r="Z6" s="49"/>
      <c r="AA6" s="49"/>
      <c r="AB6" s="49"/>
      <c r="AC6" s="64"/>
      <c r="AE6" s="12"/>
      <c r="AF6" s="12"/>
      <c r="AG6" s="80"/>
      <c r="AH6" s="80"/>
      <c r="AI6" s="80"/>
      <c r="AJ6" s="80"/>
      <c r="AK6" s="80"/>
      <c r="AL6" s="81"/>
      <c r="AM6" s="81"/>
      <c r="AN6" s="81"/>
      <c r="AO6" s="81"/>
      <c r="AP6" s="81"/>
      <c r="AQ6" s="81"/>
      <c r="AR6" s="81"/>
      <c r="AS6" s="81"/>
      <c r="AT6" s="81"/>
      <c r="AU6" s="81"/>
    </row>
    <row r="7" spans="6:47" x14ac:dyDescent="0.25">
      <c r="F7" s="6"/>
      <c r="G7" s="5"/>
      <c r="I7" s="59"/>
      <c r="J7" s="68">
        <v>1</v>
      </c>
      <c r="K7" s="69"/>
      <c r="L7" s="69"/>
      <c r="M7" s="69"/>
      <c r="N7" s="70"/>
      <c r="O7" s="68">
        <v>2</v>
      </c>
      <c r="P7" s="69"/>
      <c r="Q7" s="69"/>
      <c r="R7" s="69"/>
      <c r="S7" s="70"/>
      <c r="T7" s="68">
        <v>3</v>
      </c>
      <c r="U7" s="69"/>
      <c r="V7" s="69"/>
      <c r="W7" s="69"/>
      <c r="X7" s="70"/>
      <c r="Y7" s="68">
        <v>4</v>
      </c>
      <c r="Z7" s="69"/>
      <c r="AA7" s="69"/>
      <c r="AB7" s="69"/>
      <c r="AC7" s="70"/>
      <c r="AE7" s="12"/>
      <c r="AF7" s="12"/>
      <c r="AG7" s="80" t="s">
        <v>60</v>
      </c>
      <c r="AH7" s="80"/>
      <c r="AI7" s="80"/>
      <c r="AJ7" s="80"/>
      <c r="AK7" s="80"/>
      <c r="AL7" s="81">
        <f>SUM(O8+T8+T13+T18+O18+O13)/6</f>
        <v>98.998333333333335</v>
      </c>
      <c r="AM7" s="81"/>
      <c r="AN7" s="81"/>
      <c r="AO7" s="81"/>
      <c r="AP7" s="81"/>
      <c r="AQ7" s="81">
        <f t="shared" ref="AQ7" si="1">100-AL7</f>
        <v>1.0016666666666652</v>
      </c>
      <c r="AR7" s="81"/>
      <c r="AS7" s="81"/>
      <c r="AT7" s="81"/>
      <c r="AU7" s="81"/>
    </row>
    <row r="8" spans="6:47" ht="15" customHeight="1" x14ac:dyDescent="0.25">
      <c r="F8" s="6"/>
      <c r="G8" s="5"/>
      <c r="I8" s="59">
        <v>10</v>
      </c>
      <c r="J8" s="60">
        <f>100-0.86</f>
        <v>99.14</v>
      </c>
      <c r="K8" s="61"/>
      <c r="L8" s="61"/>
      <c r="M8" s="61"/>
      <c r="N8" s="62"/>
      <c r="O8" s="60">
        <f>SUM(J8+J5+O5)/3-0.1</f>
        <v>99.01333333333335</v>
      </c>
      <c r="P8" s="61"/>
      <c r="Q8" s="61"/>
      <c r="R8" s="61"/>
      <c r="S8" s="62"/>
      <c r="T8" s="60">
        <f>SUM(T5+Y5+Y8)/3-0.1</f>
        <v>98.99</v>
      </c>
      <c r="U8" s="61"/>
      <c r="V8" s="61"/>
      <c r="W8" s="61"/>
      <c r="X8" s="62"/>
      <c r="Y8" s="60">
        <f>100-0.9</f>
        <v>99.1</v>
      </c>
      <c r="Z8" s="61"/>
      <c r="AA8" s="61"/>
      <c r="AB8" s="61"/>
      <c r="AC8" s="62"/>
      <c r="AE8" s="12"/>
      <c r="AF8" s="12"/>
      <c r="AG8" s="80"/>
      <c r="AH8" s="80"/>
      <c r="AI8" s="80"/>
      <c r="AJ8" s="80"/>
      <c r="AK8" s="80"/>
      <c r="AL8" s="81"/>
      <c r="AM8" s="81"/>
      <c r="AN8" s="81"/>
      <c r="AO8" s="81"/>
      <c r="AP8" s="81"/>
      <c r="AQ8" s="81"/>
      <c r="AR8" s="81"/>
      <c r="AS8" s="81"/>
      <c r="AT8" s="81"/>
      <c r="AU8" s="81"/>
    </row>
    <row r="9" spans="6:47" x14ac:dyDescent="0.25">
      <c r="F9" s="6"/>
      <c r="G9" s="5"/>
      <c r="I9" s="59"/>
      <c r="J9" s="63"/>
      <c r="K9" s="49"/>
      <c r="L9" s="49"/>
      <c r="M9" s="49"/>
      <c r="N9" s="64"/>
      <c r="O9" s="63"/>
      <c r="P9" s="49"/>
      <c r="Q9" s="49"/>
      <c r="R9" s="49"/>
      <c r="S9" s="64"/>
      <c r="T9" s="63"/>
      <c r="U9" s="49"/>
      <c r="V9" s="49"/>
      <c r="W9" s="49"/>
      <c r="X9" s="64"/>
      <c r="Y9" s="63"/>
      <c r="Z9" s="49"/>
      <c r="AA9" s="49"/>
      <c r="AB9" s="49"/>
      <c r="AC9" s="64"/>
      <c r="AE9" s="12"/>
      <c r="AF9" s="12"/>
      <c r="AG9" s="80"/>
      <c r="AH9" s="80"/>
      <c r="AI9" s="80"/>
      <c r="AJ9" s="80"/>
      <c r="AK9" s="80"/>
      <c r="AL9" s="81"/>
      <c r="AM9" s="81"/>
      <c r="AN9" s="81"/>
      <c r="AO9" s="81"/>
      <c r="AP9" s="81"/>
      <c r="AQ9" s="81"/>
      <c r="AR9" s="81"/>
      <c r="AS9" s="81"/>
      <c r="AT9" s="81"/>
      <c r="AU9" s="81"/>
    </row>
    <row r="10" spans="6:47" x14ac:dyDescent="0.25">
      <c r="F10" s="6"/>
      <c r="G10" s="5"/>
      <c r="I10" s="59"/>
      <c r="J10" s="63"/>
      <c r="K10" s="49"/>
      <c r="L10" s="49"/>
      <c r="M10" s="49"/>
      <c r="N10" s="64"/>
      <c r="O10" s="63"/>
      <c r="P10" s="49"/>
      <c r="Q10" s="49"/>
      <c r="R10" s="49"/>
      <c r="S10" s="64"/>
      <c r="T10" s="63"/>
      <c r="U10" s="49"/>
      <c r="V10" s="49"/>
      <c r="W10" s="49"/>
      <c r="X10" s="64"/>
      <c r="Y10" s="63"/>
      <c r="Z10" s="49"/>
      <c r="AA10" s="49"/>
      <c r="AB10" s="49"/>
      <c r="AC10" s="64"/>
      <c r="AE10" s="12"/>
      <c r="AF10" s="12"/>
      <c r="AG10" s="80"/>
      <c r="AH10" s="80"/>
      <c r="AI10" s="80"/>
      <c r="AJ10" s="80"/>
      <c r="AK10" s="80"/>
      <c r="AL10" s="81"/>
      <c r="AM10" s="81"/>
      <c r="AN10" s="81"/>
      <c r="AO10" s="81"/>
      <c r="AP10" s="81"/>
      <c r="AQ10" s="81"/>
      <c r="AR10" s="81"/>
      <c r="AS10" s="81"/>
      <c r="AT10" s="81"/>
      <c r="AU10" s="81"/>
    </row>
    <row r="11" spans="6:47" x14ac:dyDescent="0.25">
      <c r="F11" s="6"/>
      <c r="G11" s="5"/>
      <c r="I11" s="59"/>
      <c r="J11" s="65">
        <v>14</v>
      </c>
      <c r="K11" s="66"/>
      <c r="L11" s="66"/>
      <c r="M11" s="66"/>
      <c r="N11" s="67"/>
      <c r="O11" s="65">
        <v>15</v>
      </c>
      <c r="P11" s="66"/>
      <c r="Q11" s="66"/>
      <c r="R11" s="66"/>
      <c r="S11" s="67"/>
      <c r="T11" s="65">
        <v>16</v>
      </c>
      <c r="U11" s="66"/>
      <c r="V11" s="66"/>
      <c r="W11" s="66"/>
      <c r="X11" s="67"/>
      <c r="Y11" s="65">
        <v>5</v>
      </c>
      <c r="Z11" s="66"/>
      <c r="AA11" s="66"/>
      <c r="AB11" s="66"/>
      <c r="AC11" s="67"/>
      <c r="AE11" s="12"/>
      <c r="AF11" s="12"/>
      <c r="AG11" s="80"/>
      <c r="AH11" s="80"/>
      <c r="AI11" s="80"/>
      <c r="AJ11" s="80"/>
      <c r="AK11" s="80"/>
      <c r="AL11" s="81"/>
      <c r="AM11" s="81"/>
      <c r="AN11" s="81"/>
      <c r="AO11" s="81"/>
      <c r="AP11" s="81"/>
      <c r="AQ11" s="81"/>
      <c r="AR11" s="81"/>
      <c r="AS11" s="81"/>
      <c r="AT11" s="81"/>
      <c r="AU11" s="81"/>
    </row>
    <row r="12" spans="6:47" x14ac:dyDescent="0.25">
      <c r="F12" s="6"/>
      <c r="G12" s="5"/>
      <c r="I12" s="59"/>
      <c r="J12" s="68"/>
      <c r="K12" s="69"/>
      <c r="L12" s="69"/>
      <c r="M12" s="69"/>
      <c r="N12" s="70"/>
      <c r="O12" s="68"/>
      <c r="P12" s="69"/>
      <c r="Q12" s="69"/>
      <c r="R12" s="69"/>
      <c r="S12" s="70"/>
      <c r="T12" s="68"/>
      <c r="U12" s="69"/>
      <c r="V12" s="69"/>
      <c r="W12" s="69"/>
      <c r="X12" s="70"/>
      <c r="Y12" s="68"/>
      <c r="Z12" s="69"/>
      <c r="AA12" s="69"/>
      <c r="AB12" s="69"/>
      <c r="AC12" s="70"/>
      <c r="AE12" s="12"/>
      <c r="AF12" s="12"/>
      <c r="AG12" s="80"/>
      <c r="AH12" s="80"/>
      <c r="AI12" s="80"/>
      <c r="AJ12" s="80"/>
      <c r="AK12" s="80"/>
      <c r="AL12" s="81"/>
      <c r="AM12" s="81"/>
      <c r="AN12" s="81"/>
      <c r="AO12" s="81"/>
      <c r="AP12" s="81"/>
      <c r="AQ12" s="81"/>
      <c r="AR12" s="81"/>
      <c r="AS12" s="81"/>
      <c r="AT12" s="81"/>
      <c r="AU12" s="81"/>
    </row>
    <row r="13" spans="6:47" x14ac:dyDescent="0.25">
      <c r="F13" s="6"/>
      <c r="G13" s="5"/>
      <c r="I13" s="59">
        <v>10</v>
      </c>
      <c r="J13" s="60">
        <f>100-0.86</f>
        <v>99.14</v>
      </c>
      <c r="K13" s="61"/>
      <c r="L13" s="61"/>
      <c r="M13" s="61"/>
      <c r="N13" s="62"/>
      <c r="O13" s="60">
        <f>SUM(O8+O18)/2</f>
        <v>99.018333333333345</v>
      </c>
      <c r="P13" s="61"/>
      <c r="Q13" s="61"/>
      <c r="R13" s="61"/>
      <c r="S13" s="62"/>
      <c r="T13" s="60">
        <f>SUM(T8+T18)/2</f>
        <v>98.978333333333325</v>
      </c>
      <c r="U13" s="61"/>
      <c r="V13" s="61"/>
      <c r="W13" s="61"/>
      <c r="X13" s="62"/>
      <c r="Y13" s="60">
        <f>100-0.9</f>
        <v>99.1</v>
      </c>
      <c r="Z13" s="61"/>
      <c r="AA13" s="61"/>
      <c r="AB13" s="61"/>
      <c r="AC13" s="62"/>
      <c r="AE13" s="12"/>
      <c r="AF13" s="12"/>
      <c r="AG13" s="40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2"/>
    </row>
    <row r="14" spans="6:47" x14ac:dyDescent="0.25">
      <c r="F14" s="6"/>
      <c r="G14" s="5"/>
      <c r="I14" s="59"/>
      <c r="J14" s="63"/>
      <c r="K14" s="49"/>
      <c r="L14" s="49"/>
      <c r="M14" s="49"/>
      <c r="N14" s="64"/>
      <c r="O14" s="63"/>
      <c r="P14" s="49"/>
      <c r="Q14" s="49"/>
      <c r="R14" s="49"/>
      <c r="S14" s="64"/>
      <c r="T14" s="63"/>
      <c r="U14" s="49"/>
      <c r="V14" s="49"/>
      <c r="W14" s="49"/>
      <c r="X14" s="64"/>
      <c r="Y14" s="63"/>
      <c r="Z14" s="49"/>
      <c r="AA14" s="49"/>
      <c r="AB14" s="49"/>
      <c r="AC14" s="64"/>
      <c r="AE14" s="12"/>
      <c r="AF14" s="12"/>
      <c r="AG14" s="71" t="s">
        <v>76</v>
      </c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3"/>
    </row>
    <row r="15" spans="6:47" x14ac:dyDescent="0.25">
      <c r="F15" s="6"/>
      <c r="G15" s="5"/>
      <c r="I15" s="59"/>
      <c r="J15" s="63"/>
      <c r="K15" s="49"/>
      <c r="L15" s="49"/>
      <c r="M15" s="49"/>
      <c r="N15" s="64"/>
      <c r="O15" s="63"/>
      <c r="P15" s="49"/>
      <c r="Q15" s="49"/>
      <c r="R15" s="49"/>
      <c r="S15" s="64"/>
      <c r="T15" s="63"/>
      <c r="U15" s="49"/>
      <c r="V15" s="49"/>
      <c r="W15" s="49"/>
      <c r="X15" s="64"/>
      <c r="Y15" s="63"/>
      <c r="Z15" s="49"/>
      <c r="AA15" s="49"/>
      <c r="AB15" s="49"/>
      <c r="AC15" s="64"/>
      <c r="AE15" s="12"/>
      <c r="AF15" s="12"/>
      <c r="AG15" s="74"/>
      <c r="AH15" s="75"/>
      <c r="AI15" s="75"/>
      <c r="AJ15" s="75"/>
      <c r="AK15" s="75"/>
      <c r="AL15" s="75"/>
      <c r="AM15" s="75"/>
      <c r="AN15" s="75"/>
      <c r="AO15" s="75"/>
      <c r="AP15" s="75"/>
      <c r="AQ15" s="75"/>
      <c r="AR15" s="75"/>
      <c r="AS15" s="75"/>
      <c r="AT15" s="75"/>
      <c r="AU15" s="76"/>
    </row>
    <row r="16" spans="6:47" x14ac:dyDescent="0.25">
      <c r="F16" s="6"/>
      <c r="G16" s="5"/>
      <c r="I16" s="59"/>
      <c r="J16" s="65">
        <v>13</v>
      </c>
      <c r="K16" s="66"/>
      <c r="L16" s="66"/>
      <c r="M16" s="66"/>
      <c r="N16" s="67"/>
      <c r="O16" s="65">
        <v>20</v>
      </c>
      <c r="P16" s="66"/>
      <c r="Q16" s="66"/>
      <c r="R16" s="66"/>
      <c r="S16" s="67"/>
      <c r="T16" s="65">
        <v>17</v>
      </c>
      <c r="U16" s="66"/>
      <c r="V16" s="66"/>
      <c r="W16" s="66"/>
      <c r="X16" s="67"/>
      <c r="Y16" s="65">
        <v>6</v>
      </c>
      <c r="Z16" s="66"/>
      <c r="AA16" s="66"/>
      <c r="AB16" s="66"/>
      <c r="AC16" s="67"/>
      <c r="AE16" s="12"/>
      <c r="AF16" s="12"/>
      <c r="AG16" s="74"/>
      <c r="AH16" s="75"/>
      <c r="AI16" s="75"/>
      <c r="AJ16" s="75"/>
      <c r="AK16" s="75"/>
      <c r="AL16" s="75"/>
      <c r="AM16" s="75"/>
      <c r="AN16" s="75"/>
      <c r="AO16" s="75"/>
      <c r="AP16" s="75"/>
      <c r="AQ16" s="75"/>
      <c r="AR16" s="75"/>
      <c r="AS16" s="75"/>
      <c r="AT16" s="75"/>
      <c r="AU16" s="76"/>
    </row>
    <row r="17" spans="1:47" x14ac:dyDescent="0.25">
      <c r="E17" s="49">
        <f>SUM(I5:I27)</f>
        <v>45</v>
      </c>
      <c r="F17" s="49"/>
      <c r="G17" s="49"/>
      <c r="H17" s="49"/>
      <c r="I17" s="59"/>
      <c r="J17" s="68"/>
      <c r="K17" s="69"/>
      <c r="L17" s="69"/>
      <c r="M17" s="69"/>
      <c r="N17" s="70"/>
      <c r="O17" s="68"/>
      <c r="P17" s="69"/>
      <c r="Q17" s="69"/>
      <c r="R17" s="69"/>
      <c r="S17" s="70"/>
      <c r="T17" s="68"/>
      <c r="U17" s="69"/>
      <c r="V17" s="69"/>
      <c r="W17" s="69"/>
      <c r="X17" s="70"/>
      <c r="Y17" s="68"/>
      <c r="Z17" s="69"/>
      <c r="AA17" s="69"/>
      <c r="AB17" s="69"/>
      <c r="AC17" s="70"/>
      <c r="AE17" s="12"/>
      <c r="AF17" s="12"/>
      <c r="AG17" s="74"/>
      <c r="AH17" s="75"/>
      <c r="AI17" s="75"/>
      <c r="AJ17" s="75"/>
      <c r="AK17" s="75"/>
      <c r="AL17" s="75"/>
      <c r="AM17" s="75"/>
      <c r="AN17" s="75"/>
      <c r="AO17" s="75"/>
      <c r="AP17" s="75"/>
      <c r="AQ17" s="75"/>
      <c r="AR17" s="75"/>
      <c r="AS17" s="75"/>
      <c r="AT17" s="75"/>
      <c r="AU17" s="76"/>
    </row>
    <row r="18" spans="1:47" x14ac:dyDescent="0.25">
      <c r="E18" s="49"/>
      <c r="F18" s="49"/>
      <c r="G18" s="49"/>
      <c r="H18" s="49"/>
      <c r="I18" s="59">
        <v>10</v>
      </c>
      <c r="J18" s="60">
        <f>100-0.95</f>
        <v>99.05</v>
      </c>
      <c r="K18" s="61"/>
      <c r="L18" s="61"/>
      <c r="M18" s="61"/>
      <c r="N18" s="62"/>
      <c r="O18" s="60">
        <f>SUM(O23+J23+J18)/3-0.1</f>
        <v>99.023333333333341</v>
      </c>
      <c r="P18" s="61"/>
      <c r="Q18" s="61"/>
      <c r="R18" s="61"/>
      <c r="S18" s="62"/>
      <c r="T18" s="60">
        <f>SUM(Y18+Y23+T23)/3-0.1</f>
        <v>98.966666666666669</v>
      </c>
      <c r="U18" s="61"/>
      <c r="V18" s="61"/>
      <c r="W18" s="61"/>
      <c r="X18" s="62"/>
      <c r="Y18" s="60">
        <f>100-0.97</f>
        <v>99.03</v>
      </c>
      <c r="Z18" s="61"/>
      <c r="AA18" s="61"/>
      <c r="AB18" s="61"/>
      <c r="AC18" s="62"/>
      <c r="AE18" s="12"/>
      <c r="AF18" s="12"/>
      <c r="AG18" s="74"/>
      <c r="AH18" s="75"/>
      <c r="AI18" s="75"/>
      <c r="AJ18" s="75"/>
      <c r="AK18" s="75"/>
      <c r="AL18" s="75"/>
      <c r="AM18" s="75"/>
      <c r="AN18" s="75"/>
      <c r="AO18" s="75"/>
      <c r="AP18" s="75"/>
      <c r="AQ18" s="75"/>
      <c r="AR18" s="75"/>
      <c r="AS18" s="75"/>
      <c r="AT18" s="75"/>
      <c r="AU18" s="76"/>
    </row>
    <row r="19" spans="1:47" x14ac:dyDescent="0.25">
      <c r="F19" s="6"/>
      <c r="G19" s="5"/>
      <c r="I19" s="59"/>
      <c r="J19" s="63"/>
      <c r="K19" s="49"/>
      <c r="L19" s="49"/>
      <c r="M19" s="49"/>
      <c r="N19" s="64"/>
      <c r="O19" s="63"/>
      <c r="P19" s="49"/>
      <c r="Q19" s="49"/>
      <c r="R19" s="49"/>
      <c r="S19" s="64"/>
      <c r="T19" s="63"/>
      <c r="U19" s="49"/>
      <c r="V19" s="49"/>
      <c r="W19" s="49"/>
      <c r="X19" s="64"/>
      <c r="Y19" s="63"/>
      <c r="Z19" s="49"/>
      <c r="AA19" s="49"/>
      <c r="AB19" s="49"/>
      <c r="AC19" s="64"/>
      <c r="AE19" s="12"/>
      <c r="AF19" s="12"/>
      <c r="AG19" s="77"/>
      <c r="AH19" s="78"/>
      <c r="AI19" s="78"/>
      <c r="AJ19" s="78"/>
      <c r="AK19" s="78"/>
      <c r="AL19" s="78"/>
      <c r="AM19" s="78"/>
      <c r="AN19" s="78"/>
      <c r="AO19" s="78"/>
      <c r="AP19" s="78"/>
      <c r="AQ19" s="78"/>
      <c r="AR19" s="78"/>
      <c r="AS19" s="78"/>
      <c r="AT19" s="78"/>
      <c r="AU19" s="79"/>
    </row>
    <row r="20" spans="1:47" x14ac:dyDescent="0.25">
      <c r="E20" s="10"/>
      <c r="F20" s="6"/>
      <c r="G20" s="5"/>
      <c r="H20" s="12"/>
      <c r="I20" s="59"/>
      <c r="J20" s="63"/>
      <c r="K20" s="49"/>
      <c r="L20" s="49"/>
      <c r="M20" s="49"/>
      <c r="N20" s="64"/>
      <c r="O20" s="63"/>
      <c r="P20" s="49"/>
      <c r="Q20" s="49"/>
      <c r="R20" s="49"/>
      <c r="S20" s="64"/>
      <c r="T20" s="63"/>
      <c r="U20" s="49"/>
      <c r="V20" s="49"/>
      <c r="W20" s="49"/>
      <c r="X20" s="64"/>
      <c r="Y20" s="63"/>
      <c r="Z20" s="49"/>
      <c r="AA20" s="49"/>
      <c r="AB20" s="49"/>
      <c r="AC20" s="64"/>
      <c r="AE20" s="12"/>
      <c r="AF20" s="12"/>
      <c r="AG20" s="50" t="s">
        <v>75</v>
      </c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2"/>
    </row>
    <row r="21" spans="1:47" x14ac:dyDescent="0.25">
      <c r="F21" s="6"/>
      <c r="G21" s="5"/>
      <c r="I21" s="59"/>
      <c r="J21" s="65">
        <v>12</v>
      </c>
      <c r="K21" s="66"/>
      <c r="L21" s="66"/>
      <c r="M21" s="66"/>
      <c r="N21" s="67"/>
      <c r="O21" s="65">
        <v>19</v>
      </c>
      <c r="P21" s="66"/>
      <c r="Q21" s="66"/>
      <c r="R21" s="66"/>
      <c r="S21" s="67"/>
      <c r="T21" s="65">
        <v>18</v>
      </c>
      <c r="U21" s="66"/>
      <c r="V21" s="66"/>
      <c r="W21" s="66"/>
      <c r="X21" s="67"/>
      <c r="Y21" s="65">
        <v>7</v>
      </c>
      <c r="Z21" s="66"/>
      <c r="AA21" s="66"/>
      <c r="AB21" s="66"/>
      <c r="AC21" s="67"/>
      <c r="AE21" s="12"/>
      <c r="AF21" s="12"/>
      <c r="AG21" s="53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5"/>
    </row>
    <row r="22" spans="1:47" x14ac:dyDescent="0.25">
      <c r="E22" s="10"/>
      <c r="F22" s="6"/>
      <c r="G22" s="5"/>
      <c r="H22" s="12"/>
      <c r="I22" s="59"/>
      <c r="J22" s="68"/>
      <c r="K22" s="69"/>
      <c r="L22" s="69"/>
      <c r="M22" s="69"/>
      <c r="N22" s="70"/>
      <c r="O22" s="68"/>
      <c r="P22" s="69"/>
      <c r="Q22" s="69"/>
      <c r="R22" s="69"/>
      <c r="S22" s="70"/>
      <c r="T22" s="68"/>
      <c r="U22" s="69"/>
      <c r="V22" s="69"/>
      <c r="W22" s="69"/>
      <c r="X22" s="70"/>
      <c r="Y22" s="68"/>
      <c r="Z22" s="69"/>
      <c r="AA22" s="69"/>
      <c r="AB22" s="69"/>
      <c r="AC22" s="70"/>
      <c r="AE22" s="12"/>
      <c r="AF22" s="12"/>
      <c r="AG22" s="50" t="s">
        <v>52</v>
      </c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2"/>
    </row>
    <row r="23" spans="1:47" x14ac:dyDescent="0.25">
      <c r="F23" s="6"/>
      <c r="G23" s="5"/>
      <c r="I23" s="59">
        <v>10</v>
      </c>
      <c r="J23" s="60">
        <f>100-0.85</f>
        <v>99.15</v>
      </c>
      <c r="K23" s="61"/>
      <c r="L23" s="61"/>
      <c r="M23" s="61"/>
      <c r="N23" s="62"/>
      <c r="O23" s="60">
        <f>100-0.83</f>
        <v>99.17</v>
      </c>
      <c r="P23" s="61"/>
      <c r="Q23" s="61"/>
      <c r="R23" s="61"/>
      <c r="S23" s="62"/>
      <c r="T23" s="60">
        <f>100-0.88</f>
        <v>99.12</v>
      </c>
      <c r="U23" s="61"/>
      <c r="V23" s="61"/>
      <c r="W23" s="61"/>
      <c r="X23" s="62"/>
      <c r="Y23" s="60">
        <f>100-0.95</f>
        <v>99.05</v>
      </c>
      <c r="Z23" s="61"/>
      <c r="AA23" s="61"/>
      <c r="AB23" s="61"/>
      <c r="AC23" s="62"/>
      <c r="AE23" s="12"/>
      <c r="AF23" s="12"/>
      <c r="AG23" s="53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5"/>
    </row>
    <row r="24" spans="1:47" x14ac:dyDescent="0.25">
      <c r="F24" s="6"/>
      <c r="G24" s="5"/>
      <c r="I24" s="59"/>
      <c r="J24" s="63"/>
      <c r="K24" s="49"/>
      <c r="L24" s="49"/>
      <c r="M24" s="49"/>
      <c r="N24" s="64"/>
      <c r="O24" s="63"/>
      <c r="P24" s="49"/>
      <c r="Q24" s="49"/>
      <c r="R24" s="49"/>
      <c r="S24" s="64"/>
      <c r="T24" s="63"/>
      <c r="U24" s="49"/>
      <c r="V24" s="49"/>
      <c r="W24" s="49"/>
      <c r="X24" s="64"/>
      <c r="Y24" s="63"/>
      <c r="Z24" s="49"/>
      <c r="AA24" s="49"/>
      <c r="AB24" s="49"/>
      <c r="AC24" s="64"/>
      <c r="AE24" s="12"/>
      <c r="AF24" s="12"/>
      <c r="AG24" s="50" t="s">
        <v>53</v>
      </c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2"/>
    </row>
    <row r="25" spans="1:47" x14ac:dyDescent="0.25">
      <c r="F25" s="6"/>
      <c r="G25" s="5"/>
      <c r="I25" s="59"/>
      <c r="J25" s="63"/>
      <c r="K25" s="49"/>
      <c r="L25" s="49"/>
      <c r="M25" s="49"/>
      <c r="N25" s="64"/>
      <c r="O25" s="63"/>
      <c r="P25" s="49"/>
      <c r="Q25" s="49"/>
      <c r="R25" s="49"/>
      <c r="S25" s="64"/>
      <c r="T25" s="63"/>
      <c r="U25" s="49"/>
      <c r="V25" s="49"/>
      <c r="W25" s="49"/>
      <c r="X25" s="64"/>
      <c r="Y25" s="63"/>
      <c r="Z25" s="49"/>
      <c r="AA25" s="49"/>
      <c r="AB25" s="49"/>
      <c r="AC25" s="64"/>
      <c r="AE25" s="12"/>
      <c r="AF25" s="12"/>
      <c r="AG25" s="53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5"/>
    </row>
    <row r="26" spans="1:47" x14ac:dyDescent="0.25">
      <c r="F26" s="6"/>
      <c r="G26" s="5"/>
      <c r="I26" s="59"/>
      <c r="J26" s="65">
        <v>11</v>
      </c>
      <c r="K26" s="66"/>
      <c r="L26" s="66"/>
      <c r="M26" s="66"/>
      <c r="N26" s="67"/>
      <c r="O26" s="65">
        <v>10</v>
      </c>
      <c r="P26" s="66"/>
      <c r="Q26" s="66"/>
      <c r="R26" s="66"/>
      <c r="S26" s="67"/>
      <c r="T26" s="65">
        <v>9</v>
      </c>
      <c r="U26" s="66"/>
      <c r="V26" s="66"/>
      <c r="W26" s="66"/>
      <c r="X26" s="67"/>
      <c r="Y26" s="65">
        <v>8</v>
      </c>
      <c r="Z26" s="66"/>
      <c r="AA26" s="66"/>
      <c r="AB26" s="66"/>
      <c r="AC26" s="67"/>
      <c r="AE26" s="12"/>
      <c r="AF26" s="12"/>
      <c r="AG26" s="50" t="s">
        <v>57</v>
      </c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2"/>
    </row>
    <row r="27" spans="1:47" x14ac:dyDescent="0.25">
      <c r="F27" s="9"/>
      <c r="G27" s="7"/>
      <c r="I27" s="59"/>
      <c r="J27" s="68"/>
      <c r="K27" s="69"/>
      <c r="L27" s="69"/>
      <c r="M27" s="69"/>
      <c r="N27" s="70"/>
      <c r="O27" s="68"/>
      <c r="P27" s="69"/>
      <c r="Q27" s="69"/>
      <c r="R27" s="69"/>
      <c r="S27" s="70"/>
      <c r="T27" s="68"/>
      <c r="U27" s="69"/>
      <c r="V27" s="69"/>
      <c r="W27" s="69"/>
      <c r="X27" s="70"/>
      <c r="Y27" s="68"/>
      <c r="Z27" s="69"/>
      <c r="AA27" s="69"/>
      <c r="AB27" s="69"/>
      <c r="AC27" s="70"/>
      <c r="AE27" s="12"/>
      <c r="AF27" s="12"/>
      <c r="AG27" s="53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5"/>
    </row>
    <row r="28" spans="1:47" x14ac:dyDescent="0.25"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</row>
    <row r="30" spans="1:47" x14ac:dyDescent="0.25">
      <c r="H30" s="7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49">
        <f>T1</f>
        <v>40</v>
      </c>
      <c r="Z30" s="49"/>
      <c r="AA30" s="49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9"/>
    </row>
    <row r="31" spans="1:47" x14ac:dyDescent="0.25">
      <c r="A31" s="12"/>
      <c r="B31" s="12"/>
      <c r="C31" s="12"/>
      <c r="D31" s="12"/>
      <c r="E31" s="12"/>
      <c r="F31" s="12"/>
      <c r="G31" s="12"/>
      <c r="H31" s="18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49"/>
      <c r="Z31" s="49"/>
      <c r="AA31" s="4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31"/>
      <c r="AN31" s="12"/>
      <c r="AO31" s="12"/>
      <c r="AP31" s="12"/>
      <c r="AQ31" s="12"/>
      <c r="AR31" s="12"/>
      <c r="AS31" s="12"/>
      <c r="AT31" s="12"/>
      <c r="AU31" s="12"/>
    </row>
    <row r="32" spans="1:47" x14ac:dyDescent="0.25">
      <c r="A32" s="56" t="s">
        <v>9</v>
      </c>
      <c r="B32" s="56"/>
      <c r="C32" s="56"/>
      <c r="D32" s="56"/>
      <c r="E32" s="24"/>
      <c r="F32" s="28"/>
      <c r="G32" s="25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4"/>
      <c r="AO32" s="28"/>
      <c r="AP32" s="25"/>
      <c r="AQ32" s="12"/>
      <c r="AR32" s="12"/>
      <c r="AS32" s="26"/>
      <c r="AT32" s="26"/>
      <c r="AU32" s="26"/>
    </row>
    <row r="33" spans="1:47" x14ac:dyDescent="0.25">
      <c r="A33" s="57" t="s">
        <v>10</v>
      </c>
      <c r="B33" s="57"/>
      <c r="C33" s="57"/>
      <c r="D33" s="57"/>
      <c r="E33" s="27"/>
      <c r="F33" s="27"/>
      <c r="G33" s="29"/>
      <c r="H33" s="11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3"/>
      <c r="AN33" s="12"/>
      <c r="AO33" s="12"/>
      <c r="AP33" s="12"/>
      <c r="AQ33" s="31"/>
      <c r="AR33" s="18"/>
      <c r="AS33" s="12"/>
      <c r="AT33" s="12"/>
      <c r="AU33" s="12"/>
    </row>
    <row r="34" spans="1:47" x14ac:dyDescent="0.25">
      <c r="A34" s="47"/>
      <c r="B34" s="47"/>
      <c r="C34" s="47"/>
      <c r="D34" s="47"/>
      <c r="E34" s="23"/>
      <c r="F34" s="23"/>
      <c r="G34" s="30"/>
      <c r="H34" s="14"/>
      <c r="I34" s="15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5"/>
      <c r="AM34" s="16"/>
      <c r="AN34" s="12"/>
      <c r="AO34" s="12"/>
      <c r="AP34" s="49">
        <v>2</v>
      </c>
      <c r="AQ34" s="49"/>
      <c r="AR34" s="49"/>
      <c r="AS34" s="49"/>
      <c r="AT34" s="12"/>
      <c r="AU34" s="12"/>
    </row>
    <row r="35" spans="1:47" x14ac:dyDescent="0.25">
      <c r="A35" s="58" t="s">
        <v>11</v>
      </c>
      <c r="B35" s="58"/>
      <c r="C35" s="58"/>
      <c r="D35" s="58"/>
      <c r="E35" s="12"/>
      <c r="F35" s="12"/>
      <c r="G35" s="12"/>
      <c r="H35" s="12"/>
      <c r="I35" s="13"/>
      <c r="J35" s="11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3"/>
      <c r="AL35" s="12"/>
      <c r="AM35" s="12"/>
      <c r="AN35" s="12"/>
      <c r="AO35" s="12"/>
      <c r="AP35" s="49"/>
      <c r="AQ35" s="49"/>
      <c r="AR35" s="49"/>
      <c r="AS35" s="49"/>
      <c r="AT35" s="12"/>
      <c r="AU35" s="12"/>
    </row>
    <row r="36" spans="1:47" x14ac:dyDescent="0.25">
      <c r="A36" s="47"/>
      <c r="B36" s="47"/>
      <c r="C36" s="47"/>
      <c r="D36" s="47"/>
      <c r="E36" s="23"/>
      <c r="F36" s="23"/>
      <c r="G36" s="23"/>
      <c r="H36" s="23"/>
      <c r="I36" s="30"/>
      <c r="J36" s="14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6"/>
      <c r="AL36" s="12"/>
      <c r="AM36" s="12"/>
      <c r="AN36" s="12"/>
      <c r="AO36" s="12"/>
      <c r="AP36" s="10"/>
      <c r="AQ36" s="45"/>
      <c r="AR36" s="44"/>
      <c r="AS36" s="10"/>
      <c r="AT36" s="12"/>
      <c r="AU36" s="12"/>
    </row>
    <row r="37" spans="1:47" ht="8.25" hidden="1" customHeight="1" x14ac:dyDescent="0.25">
      <c r="A37" s="46" t="s">
        <v>14</v>
      </c>
      <c r="B37" s="46"/>
      <c r="C37" s="46"/>
      <c r="D37" s="46"/>
      <c r="E37" s="12"/>
      <c r="F37" s="12"/>
      <c r="G37" s="12"/>
      <c r="H37" s="12"/>
      <c r="I37" s="12"/>
      <c r="J37" s="12"/>
      <c r="K37" s="12"/>
      <c r="L37" s="11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3"/>
      <c r="AJ37" s="12"/>
      <c r="AK37" s="12"/>
      <c r="AL37" s="12"/>
      <c r="AM37" s="12"/>
      <c r="AN37" s="12"/>
      <c r="AO37" s="12"/>
      <c r="AP37" s="33"/>
      <c r="AQ37" s="34"/>
      <c r="AR37" s="33"/>
      <c r="AS37" s="33"/>
      <c r="AT37" s="12"/>
      <c r="AU37" s="12"/>
    </row>
    <row r="38" spans="1:47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</row>
    <row r="39" spans="1:47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4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49">
        <f>Y30-4</f>
        <v>36</v>
      </c>
      <c r="Z39" s="49"/>
      <c r="AA39" s="49"/>
      <c r="AB39" s="15"/>
      <c r="AC39" s="15"/>
      <c r="AD39" s="15"/>
      <c r="AE39" s="15"/>
      <c r="AF39" s="15"/>
      <c r="AG39" s="15"/>
      <c r="AH39" s="15"/>
      <c r="AI39" s="15"/>
      <c r="AJ39" s="15"/>
      <c r="AK39" s="16"/>
      <c r="AL39" s="12"/>
      <c r="AM39" s="12"/>
      <c r="AN39" s="12"/>
      <c r="AO39" s="12"/>
      <c r="AP39" s="12"/>
      <c r="AQ39" s="12"/>
      <c r="AR39" s="12"/>
      <c r="AS39" s="12"/>
      <c r="AT39" s="12"/>
      <c r="AU39" s="12"/>
    </row>
    <row r="40" spans="1:47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8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49"/>
      <c r="Z40" s="49"/>
      <c r="AA40" s="49"/>
      <c r="AB40" s="19"/>
      <c r="AC40" s="19"/>
      <c r="AD40" s="19"/>
      <c r="AE40" s="19"/>
      <c r="AF40" s="19"/>
      <c r="AG40" s="19"/>
      <c r="AH40" s="19"/>
      <c r="AI40" s="19"/>
      <c r="AJ40" s="19"/>
      <c r="AK40" s="31"/>
      <c r="AL40" s="12"/>
      <c r="AM40" s="12"/>
      <c r="AN40" s="12"/>
      <c r="AO40" s="12"/>
      <c r="AP40" s="12"/>
      <c r="AQ40" s="12"/>
      <c r="AR40" s="12"/>
      <c r="AS40" s="12"/>
      <c r="AT40" s="12"/>
      <c r="AU40" s="12"/>
    </row>
    <row r="41" spans="1:47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</row>
    <row r="42" spans="1:47" x14ac:dyDescent="0.25"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</row>
    <row r="43" spans="1:47" x14ac:dyDescent="0.25">
      <c r="A43" s="48" t="s">
        <v>13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</row>
    <row r="44" spans="1:47" x14ac:dyDescent="0.25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</row>
    <row r="45" spans="1:47" x14ac:dyDescent="0.25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</row>
  </sheetData>
  <mergeCells count="82">
    <mergeCell ref="A37:D37"/>
    <mergeCell ref="Y39:AA40"/>
    <mergeCell ref="A43:AU45"/>
    <mergeCell ref="AP34:AS35"/>
    <mergeCell ref="AG26:AU27"/>
    <mergeCell ref="Y30:AA31"/>
    <mergeCell ref="A32:D32"/>
    <mergeCell ref="A33:D34"/>
    <mergeCell ref="A35:D36"/>
    <mergeCell ref="I23:I27"/>
    <mergeCell ref="J23:N25"/>
    <mergeCell ref="O23:S25"/>
    <mergeCell ref="T23:X25"/>
    <mergeCell ref="Y23:AC25"/>
    <mergeCell ref="AG24:AU25"/>
    <mergeCell ref="J26:N27"/>
    <mergeCell ref="O26:S27"/>
    <mergeCell ref="T26:X27"/>
    <mergeCell ref="Y26:AC27"/>
    <mergeCell ref="AG20:AU21"/>
    <mergeCell ref="J21:N22"/>
    <mergeCell ref="O21:S22"/>
    <mergeCell ref="T21:X22"/>
    <mergeCell ref="Y21:AC22"/>
    <mergeCell ref="AG22:AU23"/>
    <mergeCell ref="Y18:AC20"/>
    <mergeCell ref="E17:H18"/>
    <mergeCell ref="I18:I22"/>
    <mergeCell ref="J18:N20"/>
    <mergeCell ref="O18:S20"/>
    <mergeCell ref="T18:X20"/>
    <mergeCell ref="I13:I17"/>
    <mergeCell ref="J13:N15"/>
    <mergeCell ref="O13:S15"/>
    <mergeCell ref="T13:X15"/>
    <mergeCell ref="Y13:AC15"/>
    <mergeCell ref="AG14:AU19"/>
    <mergeCell ref="J16:N17"/>
    <mergeCell ref="O16:S17"/>
    <mergeCell ref="T16:X17"/>
    <mergeCell ref="Y16:AC17"/>
    <mergeCell ref="AL9:AP10"/>
    <mergeCell ref="AQ9:AU10"/>
    <mergeCell ref="J11:N12"/>
    <mergeCell ref="O11:S12"/>
    <mergeCell ref="T11:X12"/>
    <mergeCell ref="Y11:AC12"/>
    <mergeCell ref="AG11:AK12"/>
    <mergeCell ref="AL11:AP12"/>
    <mergeCell ref="AQ11:AU12"/>
    <mergeCell ref="AG9:AK10"/>
    <mergeCell ref="I8:I12"/>
    <mergeCell ref="J8:N10"/>
    <mergeCell ref="O8:S10"/>
    <mergeCell ref="T8:X10"/>
    <mergeCell ref="Y8:AC10"/>
    <mergeCell ref="AG5:AK6"/>
    <mergeCell ref="AL5:AP6"/>
    <mergeCell ref="AQ5:AU6"/>
    <mergeCell ref="J7:N7"/>
    <mergeCell ref="O7:S7"/>
    <mergeCell ref="T7:X7"/>
    <mergeCell ref="Y7:AC7"/>
    <mergeCell ref="AG7:AK8"/>
    <mergeCell ref="AL7:AP8"/>
    <mergeCell ref="AQ7:AU8"/>
    <mergeCell ref="J4:N4"/>
    <mergeCell ref="O4:S4"/>
    <mergeCell ref="T4:X4"/>
    <mergeCell ref="Y4:AC4"/>
    <mergeCell ref="I5:I7"/>
    <mergeCell ref="J5:N6"/>
    <mergeCell ref="O5:S6"/>
    <mergeCell ref="T5:X6"/>
    <mergeCell ref="Y5:AC6"/>
    <mergeCell ref="T1:V2"/>
    <mergeCell ref="AG1:AK2"/>
    <mergeCell ref="AL1:AP2"/>
    <mergeCell ref="AQ1:AU2"/>
    <mergeCell ref="AG3:AK4"/>
    <mergeCell ref="AL3:AP4"/>
    <mergeCell ref="AQ3:AU4"/>
  </mergeCells>
  <pageMargins left="1.74" right="0.25" top="0.33" bottom="0.31" header="0.3" footer="0.3"/>
  <pageSetup paperSize="9" scale="78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A0C0C-5981-43F1-BA35-BEBC00C62ABF}">
  <sheetPr>
    <pageSetUpPr fitToPage="1"/>
  </sheetPr>
  <dimension ref="A1:AU48"/>
  <sheetViews>
    <sheetView workbookViewId="0">
      <selection activeCell="AG1" sqref="AG1:AU29"/>
    </sheetView>
  </sheetViews>
  <sheetFormatPr defaultColWidth="2.7109375" defaultRowHeight="15" x14ac:dyDescent="0.25"/>
  <cols>
    <col min="1" max="8" width="2.7109375" style="1"/>
    <col min="9" max="9" width="2.7109375" style="1" customWidth="1"/>
    <col min="10" max="16384" width="2.7109375" style="1"/>
  </cols>
  <sheetData>
    <row r="1" spans="6:47" x14ac:dyDescent="0.25">
      <c r="J1" s="7"/>
      <c r="K1" s="8"/>
      <c r="L1" s="8"/>
      <c r="M1" s="8"/>
      <c r="N1" s="8"/>
      <c r="O1" s="8"/>
      <c r="P1" s="8"/>
      <c r="Q1" s="8"/>
      <c r="R1" s="8"/>
      <c r="S1" s="8"/>
      <c r="T1" s="49">
        <f>SUM(J4:AC4)</f>
        <v>20</v>
      </c>
      <c r="U1" s="49"/>
      <c r="V1" s="49"/>
      <c r="W1" s="8"/>
      <c r="X1" s="8"/>
      <c r="Y1" s="8"/>
      <c r="Z1" s="8"/>
      <c r="AA1" s="8"/>
      <c r="AB1" s="8"/>
      <c r="AC1" s="9"/>
      <c r="AG1" s="83" t="s">
        <v>0</v>
      </c>
      <c r="AH1" s="83"/>
      <c r="AI1" s="83"/>
      <c r="AJ1" s="83"/>
      <c r="AK1" s="83"/>
      <c r="AL1" s="83" t="s">
        <v>1</v>
      </c>
      <c r="AM1" s="83"/>
      <c r="AN1" s="83"/>
      <c r="AO1" s="83"/>
      <c r="AP1" s="83"/>
      <c r="AQ1" s="83" t="s">
        <v>2</v>
      </c>
      <c r="AR1" s="83"/>
      <c r="AS1" s="83"/>
      <c r="AT1" s="83"/>
      <c r="AU1" s="83"/>
    </row>
    <row r="2" spans="6:47" x14ac:dyDescent="0.25">
      <c r="J2" s="2"/>
      <c r="K2" s="3"/>
      <c r="L2" s="3"/>
      <c r="M2" s="3"/>
      <c r="N2" s="3"/>
      <c r="O2" s="3"/>
      <c r="P2" s="3"/>
      <c r="Q2" s="3"/>
      <c r="R2" s="3"/>
      <c r="S2" s="3"/>
      <c r="T2" s="49"/>
      <c r="U2" s="49"/>
      <c r="V2" s="49"/>
      <c r="W2" s="3"/>
      <c r="X2" s="3"/>
      <c r="Y2" s="3"/>
      <c r="Z2" s="3"/>
      <c r="AA2" s="3"/>
      <c r="AB2" s="3"/>
      <c r="AC2" s="4"/>
      <c r="AE2" s="12"/>
      <c r="AF2" s="12"/>
      <c r="AG2" s="83"/>
      <c r="AH2" s="83"/>
      <c r="AI2" s="83"/>
      <c r="AJ2" s="83"/>
      <c r="AK2" s="83"/>
      <c r="AL2" s="83"/>
      <c r="AM2" s="83"/>
      <c r="AN2" s="83"/>
      <c r="AO2" s="83"/>
      <c r="AP2" s="83"/>
      <c r="AQ2" s="83"/>
      <c r="AR2" s="83"/>
      <c r="AS2" s="83"/>
      <c r="AT2" s="83"/>
      <c r="AU2" s="83"/>
    </row>
    <row r="3" spans="6:47" x14ac:dyDescent="0.25">
      <c r="AE3" s="12"/>
      <c r="AF3" s="12"/>
      <c r="AG3" s="80" t="s">
        <v>74</v>
      </c>
      <c r="AH3" s="80"/>
      <c r="AI3" s="80"/>
      <c r="AJ3" s="80"/>
      <c r="AK3" s="80"/>
      <c r="AL3" s="81">
        <f>SUM(J5+O5+T5+Y5+Y10+Y15+Y20+Y25+T25+O25+J25+J20+J15+J10)/14</f>
        <v>99.332857142857137</v>
      </c>
      <c r="AM3" s="81"/>
      <c r="AN3" s="81"/>
      <c r="AO3" s="81"/>
      <c r="AP3" s="81"/>
      <c r="AQ3" s="81">
        <f>100-AL3</f>
        <v>0.66714285714286348</v>
      </c>
      <c r="AR3" s="81"/>
      <c r="AS3" s="81"/>
      <c r="AT3" s="81"/>
      <c r="AU3" s="81"/>
    </row>
    <row r="4" spans="6:47" x14ac:dyDescent="0.25">
      <c r="J4" s="82">
        <v>5</v>
      </c>
      <c r="K4" s="82"/>
      <c r="L4" s="82"/>
      <c r="M4" s="82"/>
      <c r="N4" s="82"/>
      <c r="O4" s="82">
        <v>5</v>
      </c>
      <c r="P4" s="82"/>
      <c r="Q4" s="82"/>
      <c r="R4" s="82"/>
      <c r="S4" s="82"/>
      <c r="T4" s="82">
        <v>5</v>
      </c>
      <c r="U4" s="82"/>
      <c r="V4" s="82"/>
      <c r="W4" s="82"/>
      <c r="X4" s="82"/>
      <c r="Y4" s="82">
        <v>5</v>
      </c>
      <c r="Z4" s="82"/>
      <c r="AA4" s="82"/>
      <c r="AB4" s="82"/>
      <c r="AC4" s="82"/>
      <c r="AE4" s="12"/>
      <c r="AF4" s="12"/>
      <c r="AG4" s="80"/>
      <c r="AH4" s="80"/>
      <c r="AI4" s="80"/>
      <c r="AJ4" s="80"/>
      <c r="AK4" s="80"/>
      <c r="AL4" s="81"/>
      <c r="AM4" s="81"/>
      <c r="AN4" s="81"/>
      <c r="AO4" s="81"/>
      <c r="AP4" s="81"/>
      <c r="AQ4" s="81"/>
      <c r="AR4" s="81"/>
      <c r="AS4" s="81"/>
      <c r="AT4" s="81"/>
      <c r="AU4" s="81"/>
    </row>
    <row r="5" spans="6:47" x14ac:dyDescent="0.25">
      <c r="F5" s="4"/>
      <c r="G5" s="2"/>
      <c r="I5" s="59">
        <v>5</v>
      </c>
      <c r="J5" s="60">
        <f>100-0.65</f>
        <v>99.35</v>
      </c>
      <c r="K5" s="61"/>
      <c r="L5" s="61"/>
      <c r="M5" s="61"/>
      <c r="N5" s="62"/>
      <c r="O5" s="60">
        <f>100-0.68</f>
        <v>99.32</v>
      </c>
      <c r="P5" s="61"/>
      <c r="Q5" s="61"/>
      <c r="R5" s="61"/>
      <c r="S5" s="62"/>
      <c r="T5" s="60">
        <f>100-0.6</f>
        <v>99.4</v>
      </c>
      <c r="U5" s="61"/>
      <c r="V5" s="61"/>
      <c r="W5" s="61"/>
      <c r="X5" s="62"/>
      <c r="Y5" s="60">
        <f>100-0.66</f>
        <v>99.34</v>
      </c>
      <c r="Z5" s="61"/>
      <c r="AA5" s="61"/>
      <c r="AB5" s="61"/>
      <c r="AC5" s="62"/>
      <c r="AE5" s="12"/>
      <c r="AF5" s="12"/>
      <c r="AG5" s="95" t="s">
        <v>60</v>
      </c>
      <c r="AH5" s="96"/>
      <c r="AI5" s="96"/>
      <c r="AJ5" s="96"/>
      <c r="AK5" s="97"/>
      <c r="AL5" s="60">
        <f>SUM(O10+T10+T15+T20+O20+O15)/6</f>
        <v>99.192499999999995</v>
      </c>
      <c r="AM5" s="61"/>
      <c r="AN5" s="61"/>
      <c r="AO5" s="61"/>
      <c r="AP5" s="62"/>
      <c r="AQ5" s="60">
        <f t="shared" ref="AQ5" si="0">100-AL5</f>
        <v>0.80750000000000455</v>
      </c>
      <c r="AR5" s="61"/>
      <c r="AS5" s="61"/>
      <c r="AT5" s="61"/>
      <c r="AU5" s="62"/>
    </row>
    <row r="6" spans="6:47" x14ac:dyDescent="0.25">
      <c r="F6" s="6"/>
      <c r="G6" s="5"/>
      <c r="I6" s="59"/>
      <c r="J6" s="63"/>
      <c r="K6" s="49"/>
      <c r="L6" s="49"/>
      <c r="M6" s="49"/>
      <c r="N6" s="64"/>
      <c r="O6" s="63"/>
      <c r="P6" s="49"/>
      <c r="Q6" s="49"/>
      <c r="R6" s="49"/>
      <c r="S6" s="64"/>
      <c r="T6" s="63"/>
      <c r="U6" s="49"/>
      <c r="V6" s="49"/>
      <c r="W6" s="49"/>
      <c r="X6" s="64"/>
      <c r="Y6" s="63"/>
      <c r="Z6" s="49"/>
      <c r="AA6" s="49"/>
      <c r="AB6" s="49"/>
      <c r="AC6" s="64"/>
      <c r="AE6" s="12"/>
      <c r="AF6" s="12"/>
      <c r="AG6" s="98"/>
      <c r="AH6" s="99"/>
      <c r="AI6" s="99"/>
      <c r="AJ6" s="99"/>
      <c r="AK6" s="100"/>
      <c r="AL6" s="89"/>
      <c r="AM6" s="82"/>
      <c r="AN6" s="82"/>
      <c r="AO6" s="82"/>
      <c r="AP6" s="90"/>
      <c r="AQ6" s="89"/>
      <c r="AR6" s="82"/>
      <c r="AS6" s="82"/>
      <c r="AT6" s="82"/>
      <c r="AU6" s="90"/>
    </row>
    <row r="7" spans="6:47" ht="15" customHeight="1" x14ac:dyDescent="0.25">
      <c r="F7" s="6"/>
      <c r="G7" s="5"/>
      <c r="I7" s="59"/>
      <c r="J7" s="63"/>
      <c r="K7" s="49"/>
      <c r="L7" s="49"/>
      <c r="M7" s="49"/>
      <c r="N7" s="64"/>
      <c r="O7" s="63"/>
      <c r="P7" s="49"/>
      <c r="Q7" s="49"/>
      <c r="R7" s="49"/>
      <c r="S7" s="64"/>
      <c r="T7" s="63"/>
      <c r="U7" s="49"/>
      <c r="V7" s="49"/>
      <c r="W7" s="49"/>
      <c r="X7" s="64"/>
      <c r="Y7" s="63"/>
      <c r="Z7" s="49"/>
      <c r="AA7" s="49"/>
      <c r="AB7" s="49"/>
      <c r="AC7" s="64"/>
      <c r="AE7" s="12"/>
      <c r="AF7" s="12"/>
      <c r="AG7" s="95"/>
      <c r="AH7" s="96"/>
      <c r="AI7" s="96"/>
      <c r="AJ7" s="96"/>
      <c r="AK7" s="97"/>
      <c r="AL7" s="60"/>
      <c r="AM7" s="61"/>
      <c r="AN7" s="61"/>
      <c r="AO7" s="61"/>
      <c r="AP7" s="62"/>
      <c r="AQ7" s="60"/>
      <c r="AR7" s="61"/>
      <c r="AS7" s="61"/>
      <c r="AT7" s="61"/>
      <c r="AU7" s="62"/>
    </row>
    <row r="8" spans="6:47" ht="15" customHeight="1" x14ac:dyDescent="0.25">
      <c r="F8" s="6"/>
      <c r="G8" s="5"/>
      <c r="I8" s="59"/>
      <c r="J8" s="65">
        <v>1</v>
      </c>
      <c r="K8" s="66"/>
      <c r="L8" s="66"/>
      <c r="M8" s="66"/>
      <c r="N8" s="67"/>
      <c r="O8" s="65">
        <v>2</v>
      </c>
      <c r="P8" s="66"/>
      <c r="Q8" s="66"/>
      <c r="R8" s="66"/>
      <c r="S8" s="67"/>
      <c r="T8" s="65">
        <v>3</v>
      </c>
      <c r="U8" s="66"/>
      <c r="V8" s="66"/>
      <c r="W8" s="66"/>
      <c r="X8" s="67"/>
      <c r="Y8" s="65">
        <v>4</v>
      </c>
      <c r="Z8" s="66"/>
      <c r="AA8" s="66"/>
      <c r="AB8" s="66"/>
      <c r="AC8" s="67"/>
      <c r="AE8" s="12"/>
      <c r="AF8" s="12"/>
      <c r="AG8" s="103"/>
      <c r="AH8" s="104"/>
      <c r="AI8" s="104"/>
      <c r="AJ8" s="104"/>
      <c r="AK8" s="105"/>
      <c r="AL8" s="63"/>
      <c r="AM8" s="49"/>
      <c r="AN8" s="49"/>
      <c r="AO8" s="49"/>
      <c r="AP8" s="64"/>
      <c r="AQ8" s="63"/>
      <c r="AR8" s="49"/>
      <c r="AS8" s="49"/>
      <c r="AT8" s="49"/>
      <c r="AU8" s="64"/>
    </row>
    <row r="9" spans="6:47" x14ac:dyDescent="0.25">
      <c r="F9" s="6"/>
      <c r="G9" s="5"/>
      <c r="I9" s="59"/>
      <c r="J9" s="68"/>
      <c r="K9" s="69"/>
      <c r="L9" s="69"/>
      <c r="M9" s="69"/>
      <c r="N9" s="70"/>
      <c r="O9" s="68"/>
      <c r="P9" s="69"/>
      <c r="Q9" s="69"/>
      <c r="R9" s="69"/>
      <c r="S9" s="70"/>
      <c r="T9" s="68"/>
      <c r="U9" s="69"/>
      <c r="V9" s="69"/>
      <c r="W9" s="69"/>
      <c r="X9" s="70"/>
      <c r="Y9" s="68"/>
      <c r="Z9" s="69"/>
      <c r="AA9" s="69"/>
      <c r="AB9" s="69"/>
      <c r="AC9" s="70"/>
      <c r="AE9" s="12"/>
      <c r="AF9" s="12"/>
      <c r="AG9" s="80"/>
      <c r="AH9" s="80"/>
      <c r="AI9" s="80"/>
      <c r="AJ9" s="80"/>
      <c r="AK9" s="80"/>
      <c r="AL9" s="81"/>
      <c r="AM9" s="81"/>
      <c r="AN9" s="81"/>
      <c r="AO9" s="81"/>
      <c r="AP9" s="81"/>
      <c r="AQ9" s="81"/>
      <c r="AR9" s="81"/>
      <c r="AS9" s="81"/>
      <c r="AT9" s="81"/>
      <c r="AU9" s="81"/>
    </row>
    <row r="10" spans="6:47" ht="15" customHeight="1" x14ac:dyDescent="0.25">
      <c r="F10" s="6"/>
      <c r="G10" s="5"/>
      <c r="I10" s="59">
        <v>5</v>
      </c>
      <c r="J10" s="60">
        <f>100-0.67</f>
        <v>99.33</v>
      </c>
      <c r="K10" s="61"/>
      <c r="L10" s="61"/>
      <c r="M10" s="61"/>
      <c r="N10" s="62"/>
      <c r="O10" s="60">
        <f>SUM(J10+J5+O5)/3-0.15</f>
        <v>99.183333333333323</v>
      </c>
      <c r="P10" s="61"/>
      <c r="Q10" s="61"/>
      <c r="R10" s="61"/>
      <c r="S10" s="62"/>
      <c r="T10" s="60">
        <f>SUM(T5+Y5+Y10)/3-0.15</f>
        <v>99.189999999999984</v>
      </c>
      <c r="U10" s="61"/>
      <c r="V10" s="61"/>
      <c r="W10" s="61"/>
      <c r="X10" s="62"/>
      <c r="Y10" s="60">
        <f>100-0.72</f>
        <v>99.28</v>
      </c>
      <c r="Z10" s="61"/>
      <c r="AA10" s="61"/>
      <c r="AB10" s="61"/>
      <c r="AC10" s="62"/>
      <c r="AE10" s="12"/>
      <c r="AF10" s="12"/>
      <c r="AG10" s="80"/>
      <c r="AH10" s="80"/>
      <c r="AI10" s="80"/>
      <c r="AJ10" s="80"/>
      <c r="AK10" s="80"/>
      <c r="AL10" s="81"/>
      <c r="AM10" s="81"/>
      <c r="AN10" s="81"/>
      <c r="AO10" s="81"/>
      <c r="AP10" s="81"/>
      <c r="AQ10" s="81"/>
      <c r="AR10" s="81"/>
      <c r="AS10" s="81"/>
      <c r="AT10" s="81"/>
      <c r="AU10" s="81"/>
    </row>
    <row r="11" spans="6:47" x14ac:dyDescent="0.25">
      <c r="F11" s="6"/>
      <c r="G11" s="5"/>
      <c r="I11" s="59"/>
      <c r="J11" s="63"/>
      <c r="K11" s="49"/>
      <c r="L11" s="49"/>
      <c r="M11" s="49"/>
      <c r="N11" s="64"/>
      <c r="O11" s="63"/>
      <c r="P11" s="49"/>
      <c r="Q11" s="49"/>
      <c r="R11" s="49"/>
      <c r="S11" s="64"/>
      <c r="T11" s="63"/>
      <c r="U11" s="49"/>
      <c r="V11" s="49"/>
      <c r="W11" s="49"/>
      <c r="X11" s="64"/>
      <c r="Y11" s="63"/>
      <c r="Z11" s="49"/>
      <c r="AA11" s="49"/>
      <c r="AB11" s="49"/>
      <c r="AC11" s="64"/>
      <c r="AE11" s="12"/>
      <c r="AF11" s="12"/>
      <c r="AG11" s="80"/>
      <c r="AH11" s="80"/>
      <c r="AI11" s="80"/>
      <c r="AJ11" s="80"/>
      <c r="AK11" s="80"/>
      <c r="AL11" s="81"/>
      <c r="AM11" s="81"/>
      <c r="AN11" s="81"/>
      <c r="AO11" s="81"/>
      <c r="AP11" s="81"/>
      <c r="AQ11" s="81"/>
      <c r="AR11" s="81"/>
      <c r="AS11" s="81"/>
      <c r="AT11" s="81"/>
      <c r="AU11" s="81"/>
    </row>
    <row r="12" spans="6:47" x14ac:dyDescent="0.25">
      <c r="F12" s="6"/>
      <c r="G12" s="5"/>
      <c r="I12" s="59"/>
      <c r="J12" s="63"/>
      <c r="K12" s="49"/>
      <c r="L12" s="49"/>
      <c r="M12" s="49"/>
      <c r="N12" s="64"/>
      <c r="O12" s="63"/>
      <c r="P12" s="49"/>
      <c r="Q12" s="49"/>
      <c r="R12" s="49"/>
      <c r="S12" s="64"/>
      <c r="T12" s="63"/>
      <c r="U12" s="49"/>
      <c r="V12" s="49"/>
      <c r="W12" s="49"/>
      <c r="X12" s="64"/>
      <c r="Y12" s="63"/>
      <c r="Z12" s="49"/>
      <c r="AA12" s="49"/>
      <c r="AB12" s="49"/>
      <c r="AC12" s="64"/>
      <c r="AE12" s="12"/>
      <c r="AF12" s="12"/>
      <c r="AG12" s="80"/>
      <c r="AH12" s="80"/>
      <c r="AI12" s="80"/>
      <c r="AJ12" s="80"/>
      <c r="AK12" s="80"/>
      <c r="AL12" s="81"/>
      <c r="AM12" s="81"/>
      <c r="AN12" s="81"/>
      <c r="AO12" s="81"/>
      <c r="AP12" s="81"/>
      <c r="AQ12" s="81"/>
      <c r="AR12" s="81"/>
      <c r="AS12" s="81"/>
      <c r="AT12" s="81"/>
      <c r="AU12" s="81"/>
    </row>
    <row r="13" spans="6:47" x14ac:dyDescent="0.25">
      <c r="F13" s="6"/>
      <c r="G13" s="5"/>
      <c r="I13" s="59"/>
      <c r="J13" s="65">
        <v>14</v>
      </c>
      <c r="K13" s="66"/>
      <c r="L13" s="66"/>
      <c r="M13" s="66"/>
      <c r="N13" s="67"/>
      <c r="O13" s="65">
        <v>15</v>
      </c>
      <c r="P13" s="66"/>
      <c r="Q13" s="66"/>
      <c r="R13" s="66"/>
      <c r="S13" s="67"/>
      <c r="T13" s="65">
        <v>16</v>
      </c>
      <c r="U13" s="66"/>
      <c r="V13" s="66"/>
      <c r="W13" s="66"/>
      <c r="X13" s="67"/>
      <c r="Y13" s="65">
        <v>5</v>
      </c>
      <c r="Z13" s="66"/>
      <c r="AA13" s="66"/>
      <c r="AB13" s="66"/>
      <c r="AC13" s="67"/>
      <c r="AE13" s="12"/>
      <c r="AF13" s="12"/>
      <c r="AG13" s="80"/>
      <c r="AH13" s="80"/>
      <c r="AI13" s="80"/>
      <c r="AJ13" s="80"/>
      <c r="AK13" s="80"/>
      <c r="AL13" s="81"/>
      <c r="AM13" s="81"/>
      <c r="AN13" s="81"/>
      <c r="AO13" s="81"/>
      <c r="AP13" s="81"/>
      <c r="AQ13" s="81"/>
      <c r="AR13" s="81"/>
      <c r="AS13" s="81"/>
      <c r="AT13" s="81"/>
      <c r="AU13" s="81"/>
    </row>
    <row r="14" spans="6:47" x14ac:dyDescent="0.25">
      <c r="F14" s="6"/>
      <c r="G14" s="5"/>
      <c r="I14" s="59"/>
      <c r="J14" s="68"/>
      <c r="K14" s="69"/>
      <c r="L14" s="69"/>
      <c r="M14" s="69"/>
      <c r="N14" s="70"/>
      <c r="O14" s="68"/>
      <c r="P14" s="69"/>
      <c r="Q14" s="69"/>
      <c r="R14" s="69"/>
      <c r="S14" s="70"/>
      <c r="T14" s="68"/>
      <c r="U14" s="69"/>
      <c r="V14" s="69"/>
      <c r="W14" s="69"/>
      <c r="X14" s="70"/>
      <c r="Y14" s="68"/>
      <c r="Z14" s="69"/>
      <c r="AA14" s="69"/>
      <c r="AB14" s="69"/>
      <c r="AC14" s="70"/>
      <c r="AE14" s="12"/>
      <c r="AF14" s="12"/>
      <c r="AG14" s="80"/>
      <c r="AH14" s="80"/>
      <c r="AI14" s="80"/>
      <c r="AJ14" s="80"/>
      <c r="AK14" s="80"/>
      <c r="AL14" s="81"/>
      <c r="AM14" s="81"/>
      <c r="AN14" s="81"/>
      <c r="AO14" s="81"/>
      <c r="AP14" s="81"/>
      <c r="AQ14" s="81"/>
      <c r="AR14" s="81"/>
      <c r="AS14" s="81"/>
      <c r="AT14" s="81"/>
      <c r="AU14" s="81"/>
    </row>
    <row r="15" spans="6:47" ht="15" customHeight="1" x14ac:dyDescent="0.25">
      <c r="F15" s="6"/>
      <c r="G15" s="5"/>
      <c r="I15" s="59">
        <v>5</v>
      </c>
      <c r="J15" s="60">
        <f>100-0.75</f>
        <v>99.25</v>
      </c>
      <c r="K15" s="61"/>
      <c r="L15" s="61"/>
      <c r="M15" s="61"/>
      <c r="N15" s="62"/>
      <c r="O15" s="60">
        <f>SUM(O10+O20)/2</f>
        <v>99.194999999999993</v>
      </c>
      <c r="P15" s="61"/>
      <c r="Q15" s="61"/>
      <c r="R15" s="61"/>
      <c r="S15" s="62"/>
      <c r="T15" s="60">
        <f>SUM(T10+T20)/2</f>
        <v>99.189999999999984</v>
      </c>
      <c r="U15" s="61"/>
      <c r="V15" s="61"/>
      <c r="W15" s="61"/>
      <c r="X15" s="62"/>
      <c r="Y15" s="60">
        <f>100-0.7</f>
        <v>99.3</v>
      </c>
      <c r="Z15" s="61"/>
      <c r="AA15" s="61"/>
      <c r="AB15" s="61"/>
      <c r="AC15" s="62"/>
      <c r="AE15" s="12"/>
      <c r="AF15" s="12"/>
      <c r="AG15" s="40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2"/>
    </row>
    <row r="16" spans="6:47" x14ac:dyDescent="0.25">
      <c r="F16" s="6"/>
      <c r="G16" s="5"/>
      <c r="I16" s="59"/>
      <c r="J16" s="63"/>
      <c r="K16" s="49"/>
      <c r="L16" s="49"/>
      <c r="M16" s="49"/>
      <c r="N16" s="64"/>
      <c r="O16" s="63"/>
      <c r="P16" s="49"/>
      <c r="Q16" s="49"/>
      <c r="R16" s="49"/>
      <c r="S16" s="64"/>
      <c r="T16" s="63"/>
      <c r="U16" s="49"/>
      <c r="V16" s="49"/>
      <c r="W16" s="49"/>
      <c r="X16" s="64"/>
      <c r="Y16" s="63"/>
      <c r="Z16" s="49"/>
      <c r="AA16" s="49"/>
      <c r="AB16" s="49"/>
      <c r="AC16" s="64"/>
      <c r="AE16" s="12"/>
      <c r="AF16" s="12"/>
      <c r="AG16" s="71" t="s">
        <v>73</v>
      </c>
      <c r="AH16" s="72"/>
      <c r="AI16" s="72"/>
      <c r="AJ16" s="72"/>
      <c r="AK16" s="72"/>
      <c r="AL16" s="72"/>
      <c r="AM16" s="72"/>
      <c r="AN16" s="72"/>
      <c r="AO16" s="72"/>
      <c r="AP16" s="72"/>
      <c r="AQ16" s="72"/>
      <c r="AR16" s="72"/>
      <c r="AS16" s="72"/>
      <c r="AT16" s="72"/>
      <c r="AU16" s="73"/>
    </row>
    <row r="17" spans="5:47" x14ac:dyDescent="0.25">
      <c r="F17" s="6"/>
      <c r="G17" s="5"/>
      <c r="I17" s="59"/>
      <c r="J17" s="63"/>
      <c r="K17" s="49"/>
      <c r="L17" s="49"/>
      <c r="M17" s="49"/>
      <c r="N17" s="64"/>
      <c r="O17" s="63"/>
      <c r="P17" s="49"/>
      <c r="Q17" s="49"/>
      <c r="R17" s="49"/>
      <c r="S17" s="64"/>
      <c r="T17" s="63"/>
      <c r="U17" s="49"/>
      <c r="V17" s="49"/>
      <c r="W17" s="49"/>
      <c r="X17" s="64"/>
      <c r="Y17" s="63"/>
      <c r="Z17" s="49"/>
      <c r="AA17" s="49"/>
      <c r="AB17" s="49"/>
      <c r="AC17" s="64"/>
      <c r="AE17" s="12"/>
      <c r="AF17" s="12"/>
      <c r="AG17" s="74"/>
      <c r="AH17" s="75"/>
      <c r="AI17" s="75"/>
      <c r="AJ17" s="75"/>
      <c r="AK17" s="75"/>
      <c r="AL17" s="75"/>
      <c r="AM17" s="75"/>
      <c r="AN17" s="75"/>
      <c r="AO17" s="75"/>
      <c r="AP17" s="75"/>
      <c r="AQ17" s="75"/>
      <c r="AR17" s="75"/>
      <c r="AS17" s="75"/>
      <c r="AT17" s="75"/>
      <c r="AU17" s="76"/>
    </row>
    <row r="18" spans="5:47" x14ac:dyDescent="0.25">
      <c r="F18" s="6"/>
      <c r="G18" s="5"/>
      <c r="I18" s="59"/>
      <c r="J18" s="65">
        <v>13</v>
      </c>
      <c r="K18" s="66"/>
      <c r="L18" s="66"/>
      <c r="M18" s="66"/>
      <c r="N18" s="67"/>
      <c r="O18" s="65">
        <v>20</v>
      </c>
      <c r="P18" s="66"/>
      <c r="Q18" s="66"/>
      <c r="R18" s="66"/>
      <c r="S18" s="67"/>
      <c r="T18" s="65">
        <v>17</v>
      </c>
      <c r="U18" s="66"/>
      <c r="V18" s="66"/>
      <c r="W18" s="66"/>
      <c r="X18" s="67"/>
      <c r="Y18" s="65">
        <v>6</v>
      </c>
      <c r="Z18" s="66"/>
      <c r="AA18" s="66"/>
      <c r="AB18" s="66"/>
      <c r="AC18" s="67"/>
      <c r="AE18" s="12"/>
      <c r="AF18" s="12"/>
      <c r="AG18" s="74"/>
      <c r="AH18" s="75"/>
      <c r="AI18" s="75"/>
      <c r="AJ18" s="75"/>
      <c r="AK18" s="75"/>
      <c r="AL18" s="75"/>
      <c r="AM18" s="75"/>
      <c r="AN18" s="75"/>
      <c r="AO18" s="75"/>
      <c r="AP18" s="75"/>
      <c r="AQ18" s="75"/>
      <c r="AR18" s="75"/>
      <c r="AS18" s="75"/>
      <c r="AT18" s="75"/>
      <c r="AU18" s="76"/>
    </row>
    <row r="19" spans="5:47" x14ac:dyDescent="0.25">
      <c r="E19" s="49">
        <f>SUM(I5:I29)</f>
        <v>25</v>
      </c>
      <c r="F19" s="49"/>
      <c r="G19" s="49"/>
      <c r="H19" s="49"/>
      <c r="I19" s="59"/>
      <c r="J19" s="68"/>
      <c r="K19" s="69"/>
      <c r="L19" s="69"/>
      <c r="M19" s="69"/>
      <c r="N19" s="70"/>
      <c r="O19" s="68"/>
      <c r="P19" s="69"/>
      <c r="Q19" s="69"/>
      <c r="R19" s="69"/>
      <c r="S19" s="70"/>
      <c r="T19" s="68"/>
      <c r="U19" s="69"/>
      <c r="V19" s="69"/>
      <c r="W19" s="69"/>
      <c r="X19" s="70"/>
      <c r="Y19" s="68"/>
      <c r="Z19" s="69"/>
      <c r="AA19" s="69"/>
      <c r="AB19" s="69"/>
      <c r="AC19" s="70"/>
      <c r="AE19" s="12"/>
      <c r="AF19" s="12"/>
      <c r="AG19" s="74"/>
      <c r="AH19" s="75"/>
      <c r="AI19" s="75"/>
      <c r="AJ19" s="75"/>
      <c r="AK19" s="75"/>
      <c r="AL19" s="75"/>
      <c r="AM19" s="75"/>
      <c r="AN19" s="75"/>
      <c r="AO19" s="75"/>
      <c r="AP19" s="75"/>
      <c r="AQ19" s="75"/>
      <c r="AR19" s="75"/>
      <c r="AS19" s="75"/>
      <c r="AT19" s="75"/>
      <c r="AU19" s="76"/>
    </row>
    <row r="20" spans="5:47" ht="15" customHeight="1" x14ac:dyDescent="0.25">
      <c r="E20" s="49"/>
      <c r="F20" s="49"/>
      <c r="G20" s="49"/>
      <c r="H20" s="49"/>
      <c r="I20" s="59">
        <v>5</v>
      </c>
      <c r="J20" s="60">
        <f>100-0.73</f>
        <v>99.27</v>
      </c>
      <c r="K20" s="61"/>
      <c r="L20" s="61"/>
      <c r="M20" s="61"/>
      <c r="N20" s="62"/>
      <c r="O20" s="60">
        <f>SUM(O25+J25+J20)/3-0.15</f>
        <v>99.206666666666663</v>
      </c>
      <c r="P20" s="61"/>
      <c r="Q20" s="61"/>
      <c r="R20" s="61"/>
      <c r="S20" s="62"/>
      <c r="T20" s="60">
        <f>SUM(Y20+Y25+T25)/3-0.15</f>
        <v>99.189999999999984</v>
      </c>
      <c r="U20" s="61"/>
      <c r="V20" s="61"/>
      <c r="W20" s="61"/>
      <c r="X20" s="62"/>
      <c r="Y20" s="60">
        <f>100-0.7</f>
        <v>99.3</v>
      </c>
      <c r="Z20" s="61"/>
      <c r="AA20" s="61"/>
      <c r="AB20" s="61"/>
      <c r="AC20" s="62"/>
      <c r="AE20" s="12"/>
      <c r="AF20" s="12"/>
      <c r="AG20" s="74"/>
      <c r="AH20" s="75"/>
      <c r="AI20" s="75"/>
      <c r="AJ20" s="75"/>
      <c r="AK20" s="75"/>
      <c r="AL20" s="75"/>
      <c r="AM20" s="75"/>
      <c r="AN20" s="75"/>
      <c r="AO20" s="75"/>
      <c r="AP20" s="75"/>
      <c r="AQ20" s="75"/>
      <c r="AR20" s="75"/>
      <c r="AS20" s="75"/>
      <c r="AT20" s="75"/>
      <c r="AU20" s="76"/>
    </row>
    <row r="21" spans="5:47" x14ac:dyDescent="0.25">
      <c r="F21" s="6"/>
      <c r="G21" s="5"/>
      <c r="I21" s="59"/>
      <c r="J21" s="63"/>
      <c r="K21" s="49"/>
      <c r="L21" s="49"/>
      <c r="M21" s="49"/>
      <c r="N21" s="64"/>
      <c r="O21" s="63"/>
      <c r="P21" s="49"/>
      <c r="Q21" s="49"/>
      <c r="R21" s="49"/>
      <c r="S21" s="64"/>
      <c r="T21" s="63"/>
      <c r="U21" s="49"/>
      <c r="V21" s="49"/>
      <c r="W21" s="49"/>
      <c r="X21" s="64"/>
      <c r="Y21" s="63"/>
      <c r="Z21" s="49"/>
      <c r="AA21" s="49"/>
      <c r="AB21" s="49"/>
      <c r="AC21" s="64"/>
      <c r="AE21" s="12"/>
      <c r="AF21" s="12"/>
      <c r="AG21" s="77"/>
      <c r="AH21" s="78"/>
      <c r="AI21" s="78"/>
      <c r="AJ21" s="78"/>
      <c r="AK21" s="78"/>
      <c r="AL21" s="78"/>
      <c r="AM21" s="78"/>
      <c r="AN21" s="78"/>
      <c r="AO21" s="78"/>
      <c r="AP21" s="78"/>
      <c r="AQ21" s="78"/>
      <c r="AR21" s="78"/>
      <c r="AS21" s="78"/>
      <c r="AT21" s="78"/>
      <c r="AU21" s="79"/>
    </row>
    <row r="22" spans="5:47" x14ac:dyDescent="0.25">
      <c r="E22" s="10"/>
      <c r="F22" s="6"/>
      <c r="G22" s="5"/>
      <c r="H22" s="12"/>
      <c r="I22" s="59"/>
      <c r="J22" s="63"/>
      <c r="K22" s="49"/>
      <c r="L22" s="49"/>
      <c r="M22" s="49"/>
      <c r="N22" s="64"/>
      <c r="O22" s="63"/>
      <c r="P22" s="49"/>
      <c r="Q22" s="49"/>
      <c r="R22" s="49"/>
      <c r="S22" s="64"/>
      <c r="T22" s="63"/>
      <c r="U22" s="49"/>
      <c r="V22" s="49"/>
      <c r="W22" s="49"/>
      <c r="X22" s="64"/>
      <c r="Y22" s="63"/>
      <c r="Z22" s="49"/>
      <c r="AA22" s="49"/>
      <c r="AB22" s="49"/>
      <c r="AC22" s="64"/>
      <c r="AE22" s="12"/>
      <c r="AF22" s="12"/>
      <c r="AG22" s="50" t="s">
        <v>72</v>
      </c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2"/>
    </row>
    <row r="23" spans="5:47" x14ac:dyDescent="0.25">
      <c r="F23" s="6"/>
      <c r="G23" s="5"/>
      <c r="I23" s="59"/>
      <c r="J23" s="65">
        <v>12</v>
      </c>
      <c r="K23" s="66"/>
      <c r="L23" s="66"/>
      <c r="M23" s="66"/>
      <c r="N23" s="67"/>
      <c r="O23" s="65">
        <v>19</v>
      </c>
      <c r="P23" s="66"/>
      <c r="Q23" s="66"/>
      <c r="R23" s="66"/>
      <c r="S23" s="67"/>
      <c r="T23" s="65">
        <v>18</v>
      </c>
      <c r="U23" s="66"/>
      <c r="V23" s="66"/>
      <c r="W23" s="66"/>
      <c r="X23" s="67"/>
      <c r="Y23" s="65">
        <v>7</v>
      </c>
      <c r="Z23" s="66"/>
      <c r="AA23" s="66"/>
      <c r="AB23" s="66"/>
      <c r="AC23" s="67"/>
      <c r="AE23" s="12"/>
      <c r="AF23" s="12"/>
      <c r="AG23" s="53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5"/>
    </row>
    <row r="24" spans="5:47" x14ac:dyDescent="0.25">
      <c r="E24" s="10"/>
      <c r="F24" s="6"/>
      <c r="G24" s="5"/>
      <c r="H24" s="12"/>
      <c r="I24" s="59"/>
      <c r="J24" s="68"/>
      <c r="K24" s="69"/>
      <c r="L24" s="69"/>
      <c r="M24" s="69"/>
      <c r="N24" s="70"/>
      <c r="O24" s="68"/>
      <c r="P24" s="69"/>
      <c r="Q24" s="69"/>
      <c r="R24" s="69"/>
      <c r="S24" s="70"/>
      <c r="T24" s="68"/>
      <c r="U24" s="69"/>
      <c r="V24" s="69"/>
      <c r="W24" s="69"/>
      <c r="X24" s="70"/>
      <c r="Y24" s="68"/>
      <c r="Z24" s="69"/>
      <c r="AA24" s="69"/>
      <c r="AB24" s="69"/>
      <c r="AC24" s="70"/>
      <c r="AE24" s="12"/>
      <c r="AF24" s="12"/>
      <c r="AG24" s="50" t="s">
        <v>52</v>
      </c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2"/>
    </row>
    <row r="25" spans="5:47" ht="15" customHeight="1" x14ac:dyDescent="0.25">
      <c r="F25" s="6"/>
      <c r="G25" s="5"/>
      <c r="I25" s="59">
        <v>5</v>
      </c>
      <c r="J25" s="60">
        <f>100-0.62</f>
        <v>99.38</v>
      </c>
      <c r="K25" s="61"/>
      <c r="L25" s="61"/>
      <c r="M25" s="61"/>
      <c r="N25" s="62"/>
      <c r="O25" s="60">
        <f>100-0.58</f>
        <v>99.42</v>
      </c>
      <c r="P25" s="61"/>
      <c r="Q25" s="61"/>
      <c r="R25" s="61"/>
      <c r="S25" s="62"/>
      <c r="T25" s="60">
        <f>100-0.64</f>
        <v>99.36</v>
      </c>
      <c r="U25" s="61"/>
      <c r="V25" s="61"/>
      <c r="W25" s="61"/>
      <c r="X25" s="62"/>
      <c r="Y25" s="60">
        <f>100-0.64</f>
        <v>99.36</v>
      </c>
      <c r="Z25" s="61"/>
      <c r="AA25" s="61"/>
      <c r="AB25" s="61"/>
      <c r="AC25" s="62"/>
      <c r="AE25" s="12"/>
      <c r="AF25" s="12"/>
      <c r="AG25" s="53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5"/>
    </row>
    <row r="26" spans="5:47" x14ac:dyDescent="0.25">
      <c r="F26" s="6"/>
      <c r="G26" s="5"/>
      <c r="I26" s="59"/>
      <c r="J26" s="63"/>
      <c r="K26" s="49"/>
      <c r="L26" s="49"/>
      <c r="M26" s="49"/>
      <c r="N26" s="64"/>
      <c r="O26" s="63"/>
      <c r="P26" s="49"/>
      <c r="Q26" s="49"/>
      <c r="R26" s="49"/>
      <c r="S26" s="64"/>
      <c r="T26" s="63"/>
      <c r="U26" s="49"/>
      <c r="V26" s="49"/>
      <c r="W26" s="49"/>
      <c r="X26" s="64"/>
      <c r="Y26" s="63"/>
      <c r="Z26" s="49"/>
      <c r="AA26" s="49"/>
      <c r="AB26" s="49"/>
      <c r="AC26" s="64"/>
      <c r="AE26" s="12"/>
      <c r="AF26" s="12"/>
      <c r="AG26" s="50" t="s">
        <v>53</v>
      </c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2"/>
    </row>
    <row r="27" spans="5:47" x14ac:dyDescent="0.25">
      <c r="F27" s="6"/>
      <c r="G27" s="5"/>
      <c r="I27" s="59"/>
      <c r="J27" s="63"/>
      <c r="K27" s="49"/>
      <c r="L27" s="49"/>
      <c r="M27" s="49"/>
      <c r="N27" s="64"/>
      <c r="O27" s="63"/>
      <c r="P27" s="49"/>
      <c r="Q27" s="49"/>
      <c r="R27" s="49"/>
      <c r="S27" s="64"/>
      <c r="T27" s="63"/>
      <c r="U27" s="49"/>
      <c r="V27" s="49"/>
      <c r="W27" s="49"/>
      <c r="X27" s="64"/>
      <c r="Y27" s="63"/>
      <c r="Z27" s="49"/>
      <c r="AA27" s="49"/>
      <c r="AB27" s="49"/>
      <c r="AC27" s="64"/>
      <c r="AE27" s="12"/>
      <c r="AF27" s="12"/>
      <c r="AG27" s="53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5"/>
    </row>
    <row r="28" spans="5:47" x14ac:dyDescent="0.25">
      <c r="F28" s="6"/>
      <c r="G28" s="5"/>
      <c r="I28" s="59"/>
      <c r="J28" s="65">
        <v>11</v>
      </c>
      <c r="K28" s="66"/>
      <c r="L28" s="66"/>
      <c r="M28" s="66"/>
      <c r="N28" s="67"/>
      <c r="O28" s="65">
        <v>10</v>
      </c>
      <c r="P28" s="66"/>
      <c r="Q28" s="66"/>
      <c r="R28" s="66"/>
      <c r="S28" s="67"/>
      <c r="T28" s="65">
        <v>9</v>
      </c>
      <c r="U28" s="66"/>
      <c r="V28" s="66"/>
      <c r="W28" s="66"/>
      <c r="X28" s="67"/>
      <c r="Y28" s="65">
        <v>8</v>
      </c>
      <c r="Z28" s="66"/>
      <c r="AA28" s="66"/>
      <c r="AB28" s="66"/>
      <c r="AC28" s="67"/>
      <c r="AE28" s="12"/>
      <c r="AF28" s="12"/>
      <c r="AG28" s="50" t="s">
        <v>71</v>
      </c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2"/>
    </row>
    <row r="29" spans="5:47" x14ac:dyDescent="0.25">
      <c r="F29" s="9"/>
      <c r="G29" s="7"/>
      <c r="I29" s="59"/>
      <c r="J29" s="68"/>
      <c r="K29" s="69"/>
      <c r="L29" s="69"/>
      <c r="M29" s="69"/>
      <c r="N29" s="70"/>
      <c r="O29" s="68"/>
      <c r="P29" s="69"/>
      <c r="Q29" s="69"/>
      <c r="R29" s="69"/>
      <c r="S29" s="70"/>
      <c r="T29" s="68"/>
      <c r="U29" s="69"/>
      <c r="V29" s="69"/>
      <c r="W29" s="69"/>
      <c r="X29" s="70"/>
      <c r="Y29" s="68"/>
      <c r="Z29" s="69"/>
      <c r="AA29" s="69"/>
      <c r="AB29" s="69"/>
      <c r="AC29" s="70"/>
      <c r="AE29" s="12"/>
      <c r="AF29" s="12"/>
      <c r="AG29" s="53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5"/>
    </row>
    <row r="30" spans="5:47" x14ac:dyDescent="0.25"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</row>
    <row r="32" spans="5:47" x14ac:dyDescent="0.25">
      <c r="H32" s="7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49">
        <f>T1</f>
        <v>20</v>
      </c>
      <c r="X32" s="49"/>
      <c r="Y32" s="49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9"/>
    </row>
    <row r="33" spans="1:47" x14ac:dyDescent="0.25">
      <c r="A33" s="12"/>
      <c r="B33" s="12"/>
      <c r="C33" s="12"/>
      <c r="D33" s="12"/>
      <c r="E33" s="12"/>
      <c r="F33" s="12"/>
      <c r="G33" s="12"/>
      <c r="H33" s="18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49"/>
      <c r="X33" s="49"/>
      <c r="Y33" s="4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31"/>
      <c r="AN33" s="12"/>
      <c r="AO33" s="12"/>
      <c r="AP33" s="12"/>
      <c r="AQ33" s="12"/>
      <c r="AR33" s="12"/>
      <c r="AS33" s="12"/>
      <c r="AT33" s="12"/>
      <c r="AU33" s="12"/>
    </row>
    <row r="34" spans="1:47" x14ac:dyDescent="0.25">
      <c r="A34" s="56" t="s">
        <v>9</v>
      </c>
      <c r="B34" s="56"/>
      <c r="C34" s="56"/>
      <c r="D34" s="56"/>
      <c r="E34" s="24"/>
      <c r="F34" s="28"/>
      <c r="G34" s="25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4"/>
      <c r="AO34" s="28"/>
      <c r="AP34" s="25"/>
      <c r="AQ34" s="12"/>
      <c r="AR34" s="12"/>
      <c r="AS34" s="26"/>
      <c r="AT34" s="26"/>
      <c r="AU34" s="26"/>
    </row>
    <row r="35" spans="1:47" x14ac:dyDescent="0.25">
      <c r="A35" s="57" t="s">
        <v>10</v>
      </c>
      <c r="B35" s="57"/>
      <c r="C35" s="57"/>
      <c r="D35" s="57"/>
      <c r="E35" s="27"/>
      <c r="F35" s="27"/>
      <c r="G35" s="29"/>
      <c r="H35" s="11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3"/>
      <c r="AN35" s="12"/>
      <c r="AO35" s="12"/>
      <c r="AP35" s="12"/>
      <c r="AQ35" s="31"/>
      <c r="AR35" s="18"/>
      <c r="AS35" s="12"/>
      <c r="AT35" s="12"/>
      <c r="AU35" s="12"/>
    </row>
    <row r="36" spans="1:47" x14ac:dyDescent="0.25">
      <c r="A36" s="47"/>
      <c r="B36" s="47"/>
      <c r="C36" s="47"/>
      <c r="D36" s="47"/>
      <c r="E36" s="23"/>
      <c r="F36" s="23"/>
      <c r="G36" s="30"/>
      <c r="H36" s="14"/>
      <c r="I36" s="15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5"/>
      <c r="AM36" s="16"/>
      <c r="AN36" s="12"/>
      <c r="AO36" s="12"/>
      <c r="AP36" s="10"/>
      <c r="AQ36" s="43"/>
      <c r="AR36" s="10"/>
      <c r="AS36" s="10"/>
      <c r="AT36" s="12"/>
      <c r="AU36" s="12"/>
    </row>
    <row r="37" spans="1:47" x14ac:dyDescent="0.25">
      <c r="A37" s="58" t="s">
        <v>11</v>
      </c>
      <c r="B37" s="58"/>
      <c r="C37" s="58"/>
      <c r="D37" s="58"/>
      <c r="E37" s="12"/>
      <c r="F37" s="12"/>
      <c r="G37" s="12"/>
      <c r="H37" s="12"/>
      <c r="I37" s="13"/>
      <c r="J37" s="11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3"/>
      <c r="AL37" s="12"/>
      <c r="AM37" s="12"/>
      <c r="AN37" s="12"/>
      <c r="AO37" s="12"/>
      <c r="AP37" s="49">
        <v>2.5</v>
      </c>
      <c r="AQ37" s="49"/>
      <c r="AR37" s="49"/>
      <c r="AS37" s="49"/>
      <c r="AT37" s="12"/>
      <c r="AU37" s="12"/>
    </row>
    <row r="38" spans="1:47" x14ac:dyDescent="0.25">
      <c r="A38" s="47"/>
      <c r="B38" s="47"/>
      <c r="C38" s="47"/>
      <c r="D38" s="47"/>
      <c r="E38" s="23"/>
      <c r="F38" s="23"/>
      <c r="G38" s="23"/>
      <c r="H38" s="23"/>
      <c r="I38" s="30"/>
      <c r="J38" s="14"/>
      <c r="K38" s="15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5"/>
      <c r="AK38" s="16"/>
      <c r="AL38" s="12"/>
      <c r="AM38" s="12"/>
      <c r="AN38" s="12"/>
      <c r="AO38" s="12"/>
      <c r="AP38" s="10"/>
      <c r="AQ38" s="34"/>
      <c r="AR38" s="33"/>
      <c r="AS38" s="10"/>
      <c r="AT38" s="12"/>
      <c r="AU38" s="12"/>
    </row>
    <row r="39" spans="1:47" ht="8.25" hidden="1" customHeight="1" x14ac:dyDescent="0.25">
      <c r="A39" s="46" t="s">
        <v>14</v>
      </c>
      <c r="B39" s="46"/>
      <c r="C39" s="46"/>
      <c r="D39" s="46"/>
      <c r="E39" s="12"/>
      <c r="F39" s="12"/>
      <c r="G39" s="12"/>
      <c r="H39" s="12"/>
      <c r="I39" s="12"/>
      <c r="J39" s="12"/>
      <c r="K39" s="12"/>
      <c r="L39" s="11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3"/>
      <c r="AJ39" s="12"/>
      <c r="AK39" s="12"/>
      <c r="AL39" s="12"/>
      <c r="AM39" s="12"/>
      <c r="AN39" s="12"/>
      <c r="AO39" s="12"/>
      <c r="AP39" s="33"/>
      <c r="AQ39" s="34"/>
      <c r="AR39" s="33"/>
      <c r="AS39" s="33"/>
      <c r="AT39" s="12"/>
      <c r="AU39" s="12"/>
    </row>
    <row r="40" spans="1:47" ht="15" customHeight="1" x14ac:dyDescent="0.25">
      <c r="A40" s="47"/>
      <c r="B40" s="47"/>
      <c r="C40" s="47"/>
      <c r="D40" s="47"/>
      <c r="E40" s="23"/>
      <c r="F40" s="23"/>
      <c r="G40" s="23"/>
      <c r="H40" s="23"/>
      <c r="I40" s="23"/>
      <c r="J40" s="23"/>
      <c r="K40" s="30"/>
      <c r="L40" s="14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6"/>
      <c r="AJ40" s="12"/>
      <c r="AK40" s="12"/>
      <c r="AL40" s="12"/>
      <c r="AM40" s="12"/>
      <c r="AN40" s="12"/>
      <c r="AO40" s="12"/>
      <c r="AP40" s="12"/>
      <c r="AQ40" s="16"/>
      <c r="AR40" s="14"/>
      <c r="AS40" s="12"/>
      <c r="AT40" s="12"/>
      <c r="AU40" s="12"/>
    </row>
    <row r="41" spans="1:47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</row>
    <row r="42" spans="1:47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4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49">
        <f>W32-4</f>
        <v>16</v>
      </c>
      <c r="X42" s="49"/>
      <c r="Y42" s="49"/>
      <c r="Z42" s="15"/>
      <c r="AA42" s="15"/>
      <c r="AB42" s="15"/>
      <c r="AC42" s="15"/>
      <c r="AD42" s="15"/>
      <c r="AE42" s="15"/>
      <c r="AF42" s="15"/>
      <c r="AG42" s="15"/>
      <c r="AH42" s="15"/>
      <c r="AI42" s="16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</row>
    <row r="43" spans="1:47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8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49"/>
      <c r="X43" s="49"/>
      <c r="Y43" s="49"/>
      <c r="Z43" s="19"/>
      <c r="AA43" s="19"/>
      <c r="AB43" s="19"/>
      <c r="AC43" s="19"/>
      <c r="AD43" s="19"/>
      <c r="AE43" s="19"/>
      <c r="AF43" s="19"/>
      <c r="AG43" s="19"/>
      <c r="AH43" s="19"/>
      <c r="AI43" s="31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</row>
    <row r="44" spans="1:47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</row>
    <row r="45" spans="1:47" x14ac:dyDescent="0.25"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</row>
    <row r="46" spans="1:47" x14ac:dyDescent="0.25">
      <c r="A46" s="48" t="s">
        <v>13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</row>
    <row r="47" spans="1:47" x14ac:dyDescent="0.25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</row>
    <row r="48" spans="1:47" x14ac:dyDescent="0.25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</row>
  </sheetData>
  <mergeCells count="85">
    <mergeCell ref="T1:V2"/>
    <mergeCell ref="AG1:AK2"/>
    <mergeCell ref="AL1:AP2"/>
    <mergeCell ref="AQ1:AU2"/>
    <mergeCell ref="AG3:AK4"/>
    <mergeCell ref="AL3:AP4"/>
    <mergeCell ref="AQ3:AU4"/>
    <mergeCell ref="I5:I9"/>
    <mergeCell ref="J5:N7"/>
    <mergeCell ref="O5:S7"/>
    <mergeCell ref="T5:X7"/>
    <mergeCell ref="Y5:AC7"/>
    <mergeCell ref="AL9:AP10"/>
    <mergeCell ref="AQ9:AU10"/>
    <mergeCell ref="J4:N4"/>
    <mergeCell ref="O4:S4"/>
    <mergeCell ref="T4:X4"/>
    <mergeCell ref="Y4:AC4"/>
    <mergeCell ref="T10:X12"/>
    <mergeCell ref="Y10:AC12"/>
    <mergeCell ref="J13:N14"/>
    <mergeCell ref="O13:S14"/>
    <mergeCell ref="T13:X14"/>
    <mergeCell ref="Y13:AC14"/>
    <mergeCell ref="AG13:AK14"/>
    <mergeCell ref="E19:H20"/>
    <mergeCell ref="I20:I24"/>
    <mergeCell ref="J20:N22"/>
    <mergeCell ref="O20:S22"/>
    <mergeCell ref="T20:X22"/>
    <mergeCell ref="I15:I19"/>
    <mergeCell ref="J15:N17"/>
    <mergeCell ref="O15:S17"/>
    <mergeCell ref="T15:X17"/>
    <mergeCell ref="J18:N19"/>
    <mergeCell ref="O18:S19"/>
    <mergeCell ref="T18:X19"/>
    <mergeCell ref="I10:I14"/>
    <mergeCell ref="J10:N12"/>
    <mergeCell ref="O10:S12"/>
    <mergeCell ref="J28:N29"/>
    <mergeCell ref="O28:S29"/>
    <mergeCell ref="T28:X29"/>
    <mergeCell ref="Y28:AC29"/>
    <mergeCell ref="AG22:AU23"/>
    <mergeCell ref="J23:N24"/>
    <mergeCell ref="O23:S24"/>
    <mergeCell ref="T23:X24"/>
    <mergeCell ref="Y23:AC24"/>
    <mergeCell ref="AG24:AU25"/>
    <mergeCell ref="Y20:AC22"/>
    <mergeCell ref="AG16:AU21"/>
    <mergeCell ref="Y18:AC19"/>
    <mergeCell ref="A39:D40"/>
    <mergeCell ref="A46:AU48"/>
    <mergeCell ref="J8:N9"/>
    <mergeCell ref="O8:S9"/>
    <mergeCell ref="T8:X9"/>
    <mergeCell ref="Y8:AC9"/>
    <mergeCell ref="W32:Y33"/>
    <mergeCell ref="AG28:AU29"/>
    <mergeCell ref="A34:D34"/>
    <mergeCell ref="A35:D36"/>
    <mergeCell ref="A37:D38"/>
    <mergeCell ref="AP37:AS37"/>
    <mergeCell ref="I25:I29"/>
    <mergeCell ref="J25:N27"/>
    <mergeCell ref="O25:S27"/>
    <mergeCell ref="T25:X27"/>
    <mergeCell ref="W42:Y43"/>
    <mergeCell ref="AG5:AK6"/>
    <mergeCell ref="AL5:AP6"/>
    <mergeCell ref="AQ5:AU6"/>
    <mergeCell ref="AG7:AK8"/>
    <mergeCell ref="AL7:AP8"/>
    <mergeCell ref="AQ7:AU8"/>
    <mergeCell ref="Y25:AC27"/>
    <mergeCell ref="AG26:AU27"/>
    <mergeCell ref="Y15:AC17"/>
    <mergeCell ref="AL11:AP12"/>
    <mergeCell ref="AQ11:AU12"/>
    <mergeCell ref="AL13:AP14"/>
    <mergeCell ref="AQ13:AU14"/>
    <mergeCell ref="AG11:AK12"/>
    <mergeCell ref="AG9:AK10"/>
  </mergeCells>
  <pageMargins left="1.74" right="0.25" top="0.33" bottom="0.31" header="0.3" footer="0.3"/>
  <pageSetup paperSize="9" scale="78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D03CE-84B2-49C2-9892-F94C676E6FED}">
  <sheetPr>
    <pageSetUpPr fitToPage="1"/>
  </sheetPr>
  <dimension ref="A1:BE43"/>
  <sheetViews>
    <sheetView topLeftCell="A16" workbookViewId="0">
      <selection activeCell="A27" sqref="A27:AT43"/>
    </sheetView>
  </sheetViews>
  <sheetFormatPr defaultColWidth="2.7109375" defaultRowHeight="15" x14ac:dyDescent="0.25"/>
  <cols>
    <col min="1" max="8" width="2.7109375" style="1"/>
    <col min="9" max="9" width="2.7109375" style="1" customWidth="1"/>
    <col min="10" max="16384" width="2.7109375" style="1"/>
  </cols>
  <sheetData>
    <row r="1" spans="5:57" x14ac:dyDescent="0.25">
      <c r="J1" s="7"/>
      <c r="K1" s="8"/>
      <c r="L1" s="8"/>
      <c r="M1" s="8"/>
      <c r="N1" s="8"/>
      <c r="O1" s="8"/>
      <c r="P1" s="8"/>
      <c r="Q1" s="8"/>
      <c r="R1" s="8"/>
      <c r="S1" s="49">
        <f>SUM(J4:AB4)</f>
        <v>38</v>
      </c>
      <c r="T1" s="49"/>
      <c r="U1" s="49"/>
      <c r="V1" s="8"/>
      <c r="W1" s="8"/>
      <c r="X1" s="8"/>
      <c r="Y1" s="8"/>
      <c r="Z1" s="8"/>
      <c r="AA1" s="8"/>
      <c r="AB1" s="9"/>
      <c r="AF1" s="83" t="s">
        <v>0</v>
      </c>
      <c r="AG1" s="83"/>
      <c r="AH1" s="83"/>
      <c r="AI1" s="83"/>
      <c r="AJ1" s="83"/>
      <c r="AK1" s="83" t="s">
        <v>1</v>
      </c>
      <c r="AL1" s="83"/>
      <c r="AM1" s="83"/>
      <c r="AN1" s="83"/>
      <c r="AO1" s="83"/>
      <c r="AP1" s="83" t="s">
        <v>2</v>
      </c>
      <c r="AQ1" s="83"/>
      <c r="AR1" s="83"/>
      <c r="AS1" s="83"/>
      <c r="AT1" s="83"/>
    </row>
    <row r="2" spans="5:57" x14ac:dyDescent="0.25">
      <c r="J2" s="2"/>
      <c r="K2" s="3"/>
      <c r="L2" s="3"/>
      <c r="M2" s="3"/>
      <c r="N2" s="3"/>
      <c r="O2" s="3"/>
      <c r="P2" s="3"/>
      <c r="Q2" s="3"/>
      <c r="R2" s="3"/>
      <c r="S2" s="49"/>
      <c r="T2" s="49"/>
      <c r="U2" s="49"/>
      <c r="V2" s="3"/>
      <c r="W2" s="3"/>
      <c r="X2" s="3"/>
      <c r="Y2" s="3"/>
      <c r="Z2" s="3"/>
      <c r="AA2" s="3"/>
      <c r="AB2" s="4"/>
      <c r="AD2" s="12"/>
      <c r="AE2" s="12"/>
      <c r="AF2" s="83"/>
      <c r="AG2" s="83"/>
      <c r="AH2" s="83"/>
      <c r="AI2" s="83"/>
      <c r="AJ2" s="83"/>
      <c r="AK2" s="83"/>
      <c r="AL2" s="83"/>
      <c r="AM2" s="83"/>
      <c r="AN2" s="83"/>
      <c r="AO2" s="83"/>
      <c r="AP2" s="83"/>
      <c r="AQ2" s="83"/>
      <c r="AR2" s="83"/>
      <c r="AS2" s="83"/>
      <c r="AT2" s="83"/>
    </row>
    <row r="3" spans="5:57" x14ac:dyDescent="0.25">
      <c r="AD3" s="12"/>
      <c r="AE3" s="12"/>
      <c r="AF3" s="80" t="s">
        <v>44</v>
      </c>
      <c r="AG3" s="80"/>
      <c r="AH3" s="80"/>
      <c r="AI3" s="80"/>
      <c r="AJ3" s="80"/>
      <c r="AK3" s="81">
        <f>SUM(J5+O5+T5)/3</f>
        <v>98.89</v>
      </c>
      <c r="AL3" s="81"/>
      <c r="AM3" s="81"/>
      <c r="AN3" s="81"/>
      <c r="AO3" s="81"/>
      <c r="AP3" s="81">
        <f>100-AK3</f>
        <v>1.1099999999999994</v>
      </c>
      <c r="AQ3" s="81"/>
      <c r="AR3" s="81"/>
      <c r="AS3" s="81"/>
      <c r="AT3" s="81"/>
    </row>
    <row r="4" spans="5:57" x14ac:dyDescent="0.25">
      <c r="J4" s="82">
        <v>10</v>
      </c>
      <c r="K4" s="82"/>
      <c r="L4" s="82"/>
      <c r="M4" s="82"/>
      <c r="N4" s="82"/>
      <c r="O4" s="82">
        <v>10</v>
      </c>
      <c r="P4" s="82"/>
      <c r="Q4" s="82"/>
      <c r="R4" s="82"/>
      <c r="S4" s="82"/>
      <c r="T4" s="82">
        <v>10</v>
      </c>
      <c r="U4" s="82"/>
      <c r="V4" s="82"/>
      <c r="W4" s="82"/>
      <c r="X4" s="82"/>
      <c r="Y4" s="82">
        <v>8</v>
      </c>
      <c r="Z4" s="82"/>
      <c r="AA4" s="82"/>
      <c r="AB4" s="82"/>
      <c r="AD4" s="12"/>
      <c r="AE4" s="12"/>
      <c r="AF4" s="80"/>
      <c r="AG4" s="80"/>
      <c r="AH4" s="80"/>
      <c r="AI4" s="80"/>
      <c r="AJ4" s="80"/>
      <c r="AK4" s="81"/>
      <c r="AL4" s="81"/>
      <c r="AM4" s="81"/>
      <c r="AN4" s="81"/>
      <c r="AO4" s="81"/>
      <c r="AP4" s="81"/>
      <c r="AQ4" s="81"/>
      <c r="AR4" s="81"/>
      <c r="AS4" s="81"/>
      <c r="AT4" s="81"/>
    </row>
    <row r="5" spans="5:57" x14ac:dyDescent="0.25">
      <c r="F5" s="4"/>
      <c r="G5" s="2"/>
      <c r="I5" s="59">
        <v>10</v>
      </c>
      <c r="J5" s="60">
        <f>100-1.15</f>
        <v>98.85</v>
      </c>
      <c r="K5" s="61"/>
      <c r="L5" s="61"/>
      <c r="M5" s="61"/>
      <c r="N5" s="62"/>
      <c r="O5" s="60">
        <f>100-1.07</f>
        <v>98.93</v>
      </c>
      <c r="P5" s="61"/>
      <c r="Q5" s="61"/>
      <c r="R5" s="61"/>
      <c r="S5" s="62"/>
      <c r="T5" s="60">
        <f>100-1.11</f>
        <v>98.89</v>
      </c>
      <c r="U5" s="61"/>
      <c r="V5" s="61"/>
      <c r="W5" s="61"/>
      <c r="X5" s="62"/>
      <c r="Y5" s="60">
        <f>100-0.95</f>
        <v>99.05</v>
      </c>
      <c r="Z5" s="61"/>
      <c r="AA5" s="61"/>
      <c r="AB5" s="62"/>
      <c r="AD5" s="12"/>
      <c r="AE5" s="12"/>
      <c r="AF5" s="80" t="s">
        <v>64</v>
      </c>
      <c r="AG5" s="80"/>
      <c r="AH5" s="80"/>
      <c r="AI5" s="80"/>
      <c r="AJ5" s="80"/>
      <c r="AK5" s="81">
        <f>SUM(Y5+Y10+Y15+Y20)/4</f>
        <v>99.007499999999993</v>
      </c>
      <c r="AL5" s="81"/>
      <c r="AM5" s="81"/>
      <c r="AN5" s="81"/>
      <c r="AO5" s="81"/>
      <c r="AP5" s="81">
        <f t="shared" ref="AP5" si="0">100-AK5</f>
        <v>0.99250000000000682</v>
      </c>
      <c r="AQ5" s="81"/>
      <c r="AR5" s="81"/>
      <c r="AS5" s="81"/>
      <c r="AT5" s="81"/>
    </row>
    <row r="6" spans="5:57" x14ac:dyDescent="0.25">
      <c r="F6" s="6"/>
      <c r="G6" s="5"/>
      <c r="I6" s="59"/>
      <c r="J6" s="63"/>
      <c r="K6" s="49"/>
      <c r="L6" s="49"/>
      <c r="M6" s="49"/>
      <c r="N6" s="64"/>
      <c r="O6" s="63"/>
      <c r="P6" s="49"/>
      <c r="Q6" s="49"/>
      <c r="R6" s="49"/>
      <c r="S6" s="64"/>
      <c r="T6" s="63"/>
      <c r="U6" s="49"/>
      <c r="V6" s="49"/>
      <c r="W6" s="49"/>
      <c r="X6" s="64"/>
      <c r="Y6" s="63"/>
      <c r="Z6" s="49"/>
      <c r="AA6" s="49"/>
      <c r="AB6" s="64"/>
      <c r="AD6" s="12"/>
      <c r="AE6" s="12"/>
      <c r="AF6" s="80"/>
      <c r="AG6" s="80"/>
      <c r="AH6" s="80"/>
      <c r="AI6" s="80"/>
      <c r="AJ6" s="80"/>
      <c r="AK6" s="81"/>
      <c r="AL6" s="81"/>
      <c r="AM6" s="81"/>
      <c r="AN6" s="81"/>
      <c r="AO6" s="81"/>
      <c r="AP6" s="81"/>
      <c r="AQ6" s="81"/>
      <c r="AR6" s="81"/>
      <c r="AS6" s="81"/>
      <c r="AT6" s="81"/>
    </row>
    <row r="7" spans="5:57" ht="15" customHeight="1" x14ac:dyDescent="0.25">
      <c r="F7" s="6"/>
      <c r="G7" s="5"/>
      <c r="I7" s="59"/>
      <c r="J7" s="63"/>
      <c r="K7" s="49"/>
      <c r="L7" s="49"/>
      <c r="M7" s="49"/>
      <c r="N7" s="64"/>
      <c r="O7" s="63"/>
      <c r="P7" s="49"/>
      <c r="Q7" s="49"/>
      <c r="R7" s="49"/>
      <c r="S7" s="64"/>
      <c r="T7" s="63"/>
      <c r="U7" s="49"/>
      <c r="V7" s="49"/>
      <c r="W7" s="49"/>
      <c r="X7" s="64"/>
      <c r="Y7" s="63"/>
      <c r="Z7" s="49"/>
      <c r="AA7" s="49"/>
      <c r="AB7" s="64"/>
      <c r="AD7" s="12"/>
      <c r="AE7" s="12"/>
      <c r="AF7" s="80" t="s">
        <v>65</v>
      </c>
      <c r="AG7" s="80"/>
      <c r="AH7" s="80"/>
      <c r="AI7" s="80"/>
      <c r="AJ7" s="80"/>
      <c r="AK7" s="81">
        <f>SUM(T20+O20+J20+J15+J10)/5</f>
        <v>98.88</v>
      </c>
      <c r="AL7" s="81"/>
      <c r="AM7" s="81"/>
      <c r="AN7" s="81"/>
      <c r="AO7" s="81"/>
      <c r="AP7" s="81">
        <f t="shared" ref="AP7" si="1">100-AK7</f>
        <v>1.1200000000000045</v>
      </c>
      <c r="AQ7" s="81"/>
      <c r="AR7" s="81"/>
      <c r="AS7" s="81"/>
      <c r="AT7" s="81"/>
      <c r="BE7" s="1" t="s">
        <v>63</v>
      </c>
    </row>
    <row r="8" spans="5:57" ht="15" customHeight="1" x14ac:dyDescent="0.25">
      <c r="F8" s="6"/>
      <c r="G8" s="5"/>
      <c r="I8" s="59"/>
      <c r="J8" s="65">
        <v>1</v>
      </c>
      <c r="K8" s="66"/>
      <c r="L8" s="66"/>
      <c r="M8" s="66"/>
      <c r="N8" s="67"/>
      <c r="O8" s="65">
        <v>2</v>
      </c>
      <c r="P8" s="66"/>
      <c r="Q8" s="66"/>
      <c r="R8" s="66"/>
      <c r="S8" s="67"/>
      <c r="T8" s="65">
        <v>3</v>
      </c>
      <c r="U8" s="66"/>
      <c r="V8" s="66"/>
      <c r="W8" s="66"/>
      <c r="X8" s="67"/>
      <c r="Y8" s="65">
        <v>4</v>
      </c>
      <c r="Z8" s="66"/>
      <c r="AA8" s="66"/>
      <c r="AB8" s="67"/>
      <c r="AD8" s="12"/>
      <c r="AE8" s="12"/>
      <c r="AF8" s="80"/>
      <c r="AG8" s="80"/>
      <c r="AH8" s="80"/>
      <c r="AI8" s="80"/>
      <c r="AJ8" s="80"/>
      <c r="AK8" s="81"/>
      <c r="AL8" s="81"/>
      <c r="AM8" s="81"/>
      <c r="AN8" s="81"/>
      <c r="AO8" s="81"/>
      <c r="AP8" s="81"/>
      <c r="AQ8" s="81"/>
      <c r="AR8" s="81"/>
      <c r="AS8" s="81"/>
      <c r="AT8" s="81"/>
    </row>
    <row r="9" spans="5:57" x14ac:dyDescent="0.25">
      <c r="F9" s="6"/>
      <c r="G9" s="5"/>
      <c r="I9" s="59"/>
      <c r="J9" s="68"/>
      <c r="K9" s="69"/>
      <c r="L9" s="69"/>
      <c r="M9" s="69"/>
      <c r="N9" s="70"/>
      <c r="O9" s="68"/>
      <c r="P9" s="69"/>
      <c r="Q9" s="69"/>
      <c r="R9" s="69"/>
      <c r="S9" s="70"/>
      <c r="T9" s="68"/>
      <c r="U9" s="69"/>
      <c r="V9" s="69"/>
      <c r="W9" s="69"/>
      <c r="X9" s="70"/>
      <c r="Y9" s="68"/>
      <c r="Z9" s="69"/>
      <c r="AA9" s="69"/>
      <c r="AB9" s="70"/>
      <c r="AD9" s="12"/>
      <c r="AE9" s="12"/>
      <c r="AF9" s="80" t="s">
        <v>66</v>
      </c>
      <c r="AG9" s="80"/>
      <c r="AH9" s="80"/>
      <c r="AI9" s="80"/>
      <c r="AJ9" s="80"/>
      <c r="AK9" s="81">
        <f>SUM(O10+T10+T15+O15)/4</f>
        <v>98.7</v>
      </c>
      <c r="AL9" s="81"/>
      <c r="AM9" s="81"/>
      <c r="AN9" s="81"/>
      <c r="AO9" s="81"/>
      <c r="AP9" s="81">
        <f t="shared" ref="AP9" si="2">100-AK9</f>
        <v>1.2999999999999972</v>
      </c>
      <c r="AQ9" s="81"/>
      <c r="AR9" s="81"/>
      <c r="AS9" s="81"/>
      <c r="AT9" s="81"/>
    </row>
    <row r="10" spans="5:57" x14ac:dyDescent="0.25">
      <c r="F10" s="6"/>
      <c r="G10" s="5"/>
      <c r="I10" s="59">
        <v>10</v>
      </c>
      <c r="J10" s="60">
        <f>100-1.12</f>
        <v>98.88</v>
      </c>
      <c r="K10" s="61"/>
      <c r="L10" s="61"/>
      <c r="M10" s="61"/>
      <c r="N10" s="62"/>
      <c r="O10" s="60">
        <f>SUM(J10+J5+O5)/3-0.25</f>
        <v>98.636666666666656</v>
      </c>
      <c r="P10" s="61"/>
      <c r="Q10" s="61"/>
      <c r="R10" s="61"/>
      <c r="S10" s="62"/>
      <c r="T10" s="60">
        <f>SUM(T5+Y5+Y10)/3-0.25</f>
        <v>98.756666666666661</v>
      </c>
      <c r="U10" s="61"/>
      <c r="V10" s="61"/>
      <c r="W10" s="61"/>
      <c r="X10" s="62"/>
      <c r="Y10" s="60">
        <f>100-0.92</f>
        <v>99.08</v>
      </c>
      <c r="Z10" s="61"/>
      <c r="AA10" s="61"/>
      <c r="AB10" s="62"/>
      <c r="AD10" s="12"/>
      <c r="AE10" s="12"/>
      <c r="AF10" s="80"/>
      <c r="AG10" s="80"/>
      <c r="AH10" s="80"/>
      <c r="AI10" s="80"/>
      <c r="AJ10" s="80"/>
      <c r="AK10" s="81"/>
      <c r="AL10" s="81"/>
      <c r="AM10" s="81"/>
      <c r="AN10" s="81"/>
      <c r="AO10" s="81"/>
      <c r="AP10" s="81"/>
      <c r="AQ10" s="81"/>
      <c r="AR10" s="81"/>
      <c r="AS10" s="81"/>
      <c r="AT10" s="81"/>
    </row>
    <row r="11" spans="5:57" x14ac:dyDescent="0.25">
      <c r="F11" s="6"/>
      <c r="G11" s="5"/>
      <c r="I11" s="59"/>
      <c r="J11" s="63"/>
      <c r="K11" s="49"/>
      <c r="L11" s="49"/>
      <c r="M11" s="49"/>
      <c r="N11" s="64"/>
      <c r="O11" s="63"/>
      <c r="P11" s="49"/>
      <c r="Q11" s="49"/>
      <c r="R11" s="49"/>
      <c r="S11" s="64"/>
      <c r="T11" s="63"/>
      <c r="U11" s="49"/>
      <c r="V11" s="49"/>
      <c r="W11" s="49"/>
      <c r="X11" s="64"/>
      <c r="Y11" s="63"/>
      <c r="Z11" s="49"/>
      <c r="AA11" s="49"/>
      <c r="AB11" s="64"/>
      <c r="AD11" s="12"/>
      <c r="AE11" s="12"/>
      <c r="AF11" s="71" t="s">
        <v>70</v>
      </c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3"/>
    </row>
    <row r="12" spans="5:57" x14ac:dyDescent="0.25">
      <c r="F12" s="6"/>
      <c r="G12" s="5"/>
      <c r="I12" s="59"/>
      <c r="J12" s="63"/>
      <c r="K12" s="49"/>
      <c r="L12" s="49"/>
      <c r="M12" s="49"/>
      <c r="N12" s="64"/>
      <c r="O12" s="63"/>
      <c r="P12" s="49"/>
      <c r="Q12" s="49"/>
      <c r="R12" s="49"/>
      <c r="S12" s="64"/>
      <c r="T12" s="63"/>
      <c r="U12" s="49"/>
      <c r="V12" s="49"/>
      <c r="W12" s="49"/>
      <c r="X12" s="64"/>
      <c r="Y12" s="63"/>
      <c r="Z12" s="49"/>
      <c r="AA12" s="49"/>
      <c r="AB12" s="64"/>
      <c r="AD12" s="12"/>
      <c r="AE12" s="12"/>
      <c r="AF12" s="74"/>
      <c r="AG12" s="75"/>
      <c r="AH12" s="75"/>
      <c r="AI12" s="75"/>
      <c r="AJ12" s="75"/>
      <c r="AK12" s="75"/>
      <c r="AL12" s="75"/>
      <c r="AM12" s="75"/>
      <c r="AN12" s="75"/>
      <c r="AO12" s="75"/>
      <c r="AP12" s="75"/>
      <c r="AQ12" s="75"/>
      <c r="AR12" s="75"/>
      <c r="AS12" s="75"/>
      <c r="AT12" s="76"/>
    </row>
    <row r="13" spans="5:57" x14ac:dyDescent="0.25">
      <c r="F13" s="6"/>
      <c r="G13" s="5"/>
      <c r="I13" s="59"/>
      <c r="J13" s="65">
        <v>12</v>
      </c>
      <c r="K13" s="66"/>
      <c r="L13" s="66"/>
      <c r="M13" s="66"/>
      <c r="N13" s="67"/>
      <c r="O13" s="65">
        <v>13</v>
      </c>
      <c r="P13" s="66"/>
      <c r="Q13" s="66"/>
      <c r="R13" s="66"/>
      <c r="S13" s="67"/>
      <c r="T13" s="65">
        <v>14</v>
      </c>
      <c r="U13" s="66"/>
      <c r="V13" s="66"/>
      <c r="W13" s="66"/>
      <c r="X13" s="67"/>
      <c r="Y13" s="65">
        <v>5</v>
      </c>
      <c r="Z13" s="66"/>
      <c r="AA13" s="66"/>
      <c r="AB13" s="67"/>
      <c r="AD13" s="12"/>
      <c r="AE13" s="12"/>
      <c r="AF13" s="74"/>
      <c r="AG13" s="75"/>
      <c r="AH13" s="75"/>
      <c r="AI13" s="75"/>
      <c r="AJ13" s="75"/>
      <c r="AK13" s="75"/>
      <c r="AL13" s="75"/>
      <c r="AM13" s="75"/>
      <c r="AN13" s="75"/>
      <c r="AO13" s="75"/>
      <c r="AP13" s="75"/>
      <c r="AQ13" s="75"/>
      <c r="AR13" s="75"/>
      <c r="AS13" s="75"/>
      <c r="AT13" s="76"/>
    </row>
    <row r="14" spans="5:57" x14ac:dyDescent="0.25">
      <c r="E14" s="49">
        <f>SUM(I5:I24)</f>
        <v>40</v>
      </c>
      <c r="F14" s="49"/>
      <c r="G14" s="49"/>
      <c r="H14" s="49"/>
      <c r="I14" s="59"/>
      <c r="J14" s="68"/>
      <c r="K14" s="69"/>
      <c r="L14" s="69"/>
      <c r="M14" s="69"/>
      <c r="N14" s="70"/>
      <c r="O14" s="68"/>
      <c r="P14" s="69"/>
      <c r="Q14" s="69"/>
      <c r="R14" s="69"/>
      <c r="S14" s="70"/>
      <c r="T14" s="68"/>
      <c r="U14" s="69"/>
      <c r="V14" s="69"/>
      <c r="W14" s="69"/>
      <c r="X14" s="70"/>
      <c r="Y14" s="68"/>
      <c r="Z14" s="69"/>
      <c r="AA14" s="69"/>
      <c r="AB14" s="70"/>
      <c r="AD14" s="12"/>
      <c r="AE14" s="12"/>
      <c r="AF14" s="74"/>
      <c r="AG14" s="75"/>
      <c r="AH14" s="75"/>
      <c r="AI14" s="75"/>
      <c r="AJ14" s="75"/>
      <c r="AK14" s="75"/>
      <c r="AL14" s="75"/>
      <c r="AM14" s="75"/>
      <c r="AN14" s="75"/>
      <c r="AO14" s="75"/>
      <c r="AP14" s="75"/>
      <c r="AQ14" s="75"/>
      <c r="AR14" s="75"/>
      <c r="AS14" s="75"/>
      <c r="AT14" s="76"/>
    </row>
    <row r="15" spans="5:57" x14ac:dyDescent="0.25">
      <c r="E15" s="49"/>
      <c r="F15" s="49"/>
      <c r="G15" s="49"/>
      <c r="H15" s="49"/>
      <c r="I15" s="59">
        <v>10</v>
      </c>
      <c r="J15" s="60">
        <f>100-1.16</f>
        <v>98.84</v>
      </c>
      <c r="K15" s="61"/>
      <c r="L15" s="61"/>
      <c r="M15" s="61"/>
      <c r="N15" s="62"/>
      <c r="O15" s="60">
        <f>SUM(O20+J20+J15)/3-0.2</f>
        <v>98.67</v>
      </c>
      <c r="P15" s="61"/>
      <c r="Q15" s="61"/>
      <c r="R15" s="61"/>
      <c r="S15" s="62"/>
      <c r="T15" s="60">
        <f>SUM(Y15+Y20+T20)/3-0.2</f>
        <v>98.736666666666665</v>
      </c>
      <c r="U15" s="61"/>
      <c r="V15" s="61"/>
      <c r="W15" s="61"/>
      <c r="X15" s="62"/>
      <c r="Y15" s="60">
        <f>100-1.05</f>
        <v>98.95</v>
      </c>
      <c r="Z15" s="61"/>
      <c r="AA15" s="61"/>
      <c r="AB15" s="62"/>
      <c r="AD15" s="12"/>
      <c r="AE15" s="12"/>
      <c r="AF15" s="74"/>
      <c r="AG15" s="75"/>
      <c r="AH15" s="75"/>
      <c r="AI15" s="75"/>
      <c r="AJ15" s="75"/>
      <c r="AK15" s="75"/>
      <c r="AL15" s="75"/>
      <c r="AM15" s="75"/>
      <c r="AN15" s="75"/>
      <c r="AO15" s="75"/>
      <c r="AP15" s="75"/>
      <c r="AQ15" s="75"/>
      <c r="AR15" s="75"/>
      <c r="AS15" s="75"/>
      <c r="AT15" s="76"/>
    </row>
    <row r="16" spans="5:57" x14ac:dyDescent="0.25">
      <c r="F16" s="6"/>
      <c r="G16" s="5"/>
      <c r="I16" s="59"/>
      <c r="J16" s="63"/>
      <c r="K16" s="49"/>
      <c r="L16" s="49"/>
      <c r="M16" s="49"/>
      <c r="N16" s="64"/>
      <c r="O16" s="63"/>
      <c r="P16" s="49"/>
      <c r="Q16" s="49"/>
      <c r="R16" s="49"/>
      <c r="S16" s="64"/>
      <c r="T16" s="63"/>
      <c r="U16" s="49"/>
      <c r="V16" s="49"/>
      <c r="W16" s="49"/>
      <c r="X16" s="64"/>
      <c r="Y16" s="63"/>
      <c r="Z16" s="49"/>
      <c r="AA16" s="49"/>
      <c r="AB16" s="64"/>
      <c r="AD16" s="12"/>
      <c r="AE16" s="12"/>
      <c r="AF16" s="77"/>
      <c r="AG16" s="78"/>
      <c r="AH16" s="78"/>
      <c r="AI16" s="78"/>
      <c r="AJ16" s="78"/>
      <c r="AK16" s="78"/>
      <c r="AL16" s="78"/>
      <c r="AM16" s="78"/>
      <c r="AN16" s="78"/>
      <c r="AO16" s="78"/>
      <c r="AP16" s="78"/>
      <c r="AQ16" s="78"/>
      <c r="AR16" s="78"/>
      <c r="AS16" s="78"/>
      <c r="AT16" s="79"/>
    </row>
    <row r="17" spans="1:46" x14ac:dyDescent="0.25">
      <c r="E17" s="10"/>
      <c r="F17" s="6"/>
      <c r="G17" s="5"/>
      <c r="H17" s="12"/>
      <c r="I17" s="59"/>
      <c r="J17" s="63"/>
      <c r="K17" s="49"/>
      <c r="L17" s="49"/>
      <c r="M17" s="49"/>
      <c r="N17" s="64"/>
      <c r="O17" s="63"/>
      <c r="P17" s="49"/>
      <c r="Q17" s="49"/>
      <c r="R17" s="49"/>
      <c r="S17" s="64"/>
      <c r="T17" s="63"/>
      <c r="U17" s="49"/>
      <c r="V17" s="49"/>
      <c r="W17" s="49"/>
      <c r="X17" s="64"/>
      <c r="Y17" s="63"/>
      <c r="Z17" s="49"/>
      <c r="AA17" s="49"/>
      <c r="AB17" s="64"/>
      <c r="AD17" s="12"/>
      <c r="AE17" s="12"/>
      <c r="AF17" s="50" t="s">
        <v>67</v>
      </c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2"/>
    </row>
    <row r="18" spans="1:46" x14ac:dyDescent="0.25">
      <c r="F18" s="6"/>
      <c r="G18" s="5"/>
      <c r="I18" s="59"/>
      <c r="J18" s="65">
        <v>11</v>
      </c>
      <c r="K18" s="66"/>
      <c r="L18" s="66"/>
      <c r="M18" s="66"/>
      <c r="N18" s="67"/>
      <c r="O18" s="65">
        <v>16</v>
      </c>
      <c r="P18" s="66"/>
      <c r="Q18" s="66"/>
      <c r="R18" s="66"/>
      <c r="S18" s="67"/>
      <c r="T18" s="65">
        <v>15</v>
      </c>
      <c r="U18" s="66"/>
      <c r="V18" s="66"/>
      <c r="W18" s="66"/>
      <c r="X18" s="67"/>
      <c r="Y18" s="65">
        <v>6</v>
      </c>
      <c r="Z18" s="66"/>
      <c r="AA18" s="66"/>
      <c r="AB18" s="67"/>
      <c r="AD18" s="12"/>
      <c r="AE18" s="12"/>
      <c r="AF18" s="53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5"/>
    </row>
    <row r="19" spans="1:46" x14ac:dyDescent="0.25">
      <c r="E19" s="10"/>
      <c r="F19" s="6"/>
      <c r="G19" s="5"/>
      <c r="H19" s="12"/>
      <c r="I19" s="59"/>
      <c r="J19" s="68"/>
      <c r="K19" s="69"/>
      <c r="L19" s="69"/>
      <c r="M19" s="69"/>
      <c r="N19" s="70"/>
      <c r="O19" s="68"/>
      <c r="P19" s="69"/>
      <c r="Q19" s="69"/>
      <c r="R19" s="69"/>
      <c r="S19" s="70"/>
      <c r="T19" s="68"/>
      <c r="U19" s="69"/>
      <c r="V19" s="69"/>
      <c r="W19" s="69"/>
      <c r="X19" s="70"/>
      <c r="Y19" s="68"/>
      <c r="Z19" s="69"/>
      <c r="AA19" s="69"/>
      <c r="AB19" s="70"/>
      <c r="AD19" s="12"/>
      <c r="AE19" s="12"/>
      <c r="AF19" s="50" t="s">
        <v>68</v>
      </c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2"/>
    </row>
    <row r="20" spans="1:46" x14ac:dyDescent="0.25">
      <c r="F20" s="6"/>
      <c r="G20" s="5"/>
      <c r="I20" s="59">
        <v>10</v>
      </c>
      <c r="J20" s="60">
        <f>100-1.13</f>
        <v>98.87</v>
      </c>
      <c r="K20" s="61"/>
      <c r="L20" s="61"/>
      <c r="M20" s="61"/>
      <c r="N20" s="62"/>
      <c r="O20" s="60">
        <f>100-1.1</f>
        <v>98.9</v>
      </c>
      <c r="P20" s="61"/>
      <c r="Q20" s="61"/>
      <c r="R20" s="61"/>
      <c r="S20" s="62"/>
      <c r="T20" s="60">
        <f>100-1.09</f>
        <v>98.91</v>
      </c>
      <c r="U20" s="61"/>
      <c r="V20" s="61"/>
      <c r="W20" s="61"/>
      <c r="X20" s="62"/>
      <c r="Y20" s="60">
        <f>100-1.05</f>
        <v>98.95</v>
      </c>
      <c r="Z20" s="61"/>
      <c r="AA20" s="61"/>
      <c r="AB20" s="62"/>
      <c r="AD20" s="12"/>
      <c r="AE20" s="12"/>
      <c r="AF20" s="53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5"/>
    </row>
    <row r="21" spans="1:46" x14ac:dyDescent="0.25">
      <c r="F21" s="6"/>
      <c r="G21" s="5"/>
      <c r="I21" s="59"/>
      <c r="J21" s="63"/>
      <c r="K21" s="49"/>
      <c r="L21" s="49"/>
      <c r="M21" s="49"/>
      <c r="N21" s="64"/>
      <c r="O21" s="63"/>
      <c r="P21" s="49"/>
      <c r="Q21" s="49"/>
      <c r="R21" s="49"/>
      <c r="S21" s="64"/>
      <c r="T21" s="63"/>
      <c r="U21" s="49"/>
      <c r="V21" s="49"/>
      <c r="W21" s="49"/>
      <c r="X21" s="64"/>
      <c r="Y21" s="63"/>
      <c r="Z21" s="49"/>
      <c r="AA21" s="49"/>
      <c r="AB21" s="64"/>
      <c r="AD21" s="12"/>
      <c r="AE21" s="12"/>
      <c r="AF21" s="50" t="s">
        <v>69</v>
      </c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2"/>
    </row>
    <row r="22" spans="1:46" x14ac:dyDescent="0.25">
      <c r="F22" s="6"/>
      <c r="G22" s="5"/>
      <c r="I22" s="59"/>
      <c r="J22" s="63"/>
      <c r="K22" s="49"/>
      <c r="L22" s="49"/>
      <c r="M22" s="49"/>
      <c r="N22" s="64"/>
      <c r="O22" s="63"/>
      <c r="P22" s="49"/>
      <c r="Q22" s="49"/>
      <c r="R22" s="49"/>
      <c r="S22" s="64"/>
      <c r="T22" s="63"/>
      <c r="U22" s="49"/>
      <c r="V22" s="49"/>
      <c r="W22" s="49"/>
      <c r="X22" s="64"/>
      <c r="Y22" s="63"/>
      <c r="Z22" s="49"/>
      <c r="AA22" s="49"/>
      <c r="AB22" s="64"/>
      <c r="AD22" s="12"/>
      <c r="AE22" s="12"/>
      <c r="AF22" s="53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5"/>
    </row>
    <row r="23" spans="1:46" x14ac:dyDescent="0.25">
      <c r="F23" s="6"/>
      <c r="G23" s="5"/>
      <c r="I23" s="59"/>
      <c r="J23" s="65">
        <v>10</v>
      </c>
      <c r="K23" s="66"/>
      <c r="L23" s="66"/>
      <c r="M23" s="66"/>
      <c r="N23" s="67"/>
      <c r="O23" s="65">
        <v>9</v>
      </c>
      <c r="P23" s="66"/>
      <c r="Q23" s="66"/>
      <c r="R23" s="66"/>
      <c r="S23" s="67"/>
      <c r="T23" s="65">
        <v>8</v>
      </c>
      <c r="U23" s="66"/>
      <c r="V23" s="66"/>
      <c r="W23" s="66"/>
      <c r="X23" s="67"/>
      <c r="Y23" s="65">
        <v>7</v>
      </c>
      <c r="Z23" s="66"/>
      <c r="AA23" s="66"/>
      <c r="AB23" s="67"/>
      <c r="AD23" s="12"/>
      <c r="AE23" s="12"/>
      <c r="AF23" s="50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2"/>
    </row>
    <row r="24" spans="1:46" x14ac:dyDescent="0.25">
      <c r="F24" s="9"/>
      <c r="G24" s="7"/>
      <c r="I24" s="59"/>
      <c r="J24" s="68"/>
      <c r="K24" s="69"/>
      <c r="L24" s="69"/>
      <c r="M24" s="69"/>
      <c r="N24" s="70"/>
      <c r="O24" s="68"/>
      <c r="P24" s="69"/>
      <c r="Q24" s="69"/>
      <c r="R24" s="69"/>
      <c r="S24" s="70"/>
      <c r="T24" s="68"/>
      <c r="U24" s="69"/>
      <c r="V24" s="69"/>
      <c r="W24" s="69"/>
      <c r="X24" s="70"/>
      <c r="Y24" s="68"/>
      <c r="Z24" s="69"/>
      <c r="AA24" s="69"/>
      <c r="AB24" s="70"/>
      <c r="AD24" s="12"/>
      <c r="AE24" s="12"/>
      <c r="AF24" s="53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5"/>
    </row>
    <row r="25" spans="1:46" x14ac:dyDescent="0.25"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</row>
    <row r="27" spans="1:46" x14ac:dyDescent="0.25">
      <c r="H27" s="7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49">
        <f>S1</f>
        <v>38</v>
      </c>
      <c r="W27" s="66"/>
      <c r="X27" s="66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9"/>
    </row>
    <row r="28" spans="1:46" x14ac:dyDescent="0.25">
      <c r="A28" s="12"/>
      <c r="B28" s="12"/>
      <c r="C28" s="12"/>
      <c r="D28" s="12"/>
      <c r="E28" s="12"/>
      <c r="F28" s="12"/>
      <c r="G28" s="12"/>
      <c r="H28" s="18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66"/>
      <c r="W28" s="66"/>
      <c r="X28" s="66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31"/>
      <c r="AM28" s="12"/>
      <c r="AN28" s="12"/>
      <c r="AO28" s="12"/>
      <c r="AP28" s="12"/>
      <c r="AQ28" s="12"/>
      <c r="AR28" s="12"/>
      <c r="AS28" s="12"/>
      <c r="AT28" s="12"/>
    </row>
    <row r="29" spans="1:46" x14ac:dyDescent="0.25">
      <c r="A29" s="56" t="s">
        <v>9</v>
      </c>
      <c r="B29" s="56"/>
      <c r="C29" s="56"/>
      <c r="D29" s="56"/>
      <c r="E29" s="24"/>
      <c r="F29" s="28"/>
      <c r="G29" s="25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4"/>
      <c r="AN29" s="28"/>
      <c r="AO29" s="25"/>
      <c r="AP29" s="12"/>
      <c r="AQ29" s="12"/>
      <c r="AR29" s="26"/>
      <c r="AS29" s="26"/>
      <c r="AT29" s="26"/>
    </row>
    <row r="30" spans="1:46" x14ac:dyDescent="0.25">
      <c r="A30" s="57" t="s">
        <v>10</v>
      </c>
      <c r="B30" s="57"/>
      <c r="C30" s="57"/>
      <c r="D30" s="57"/>
      <c r="E30" s="27"/>
      <c r="F30" s="27"/>
      <c r="G30" s="29"/>
      <c r="H30" s="11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3"/>
      <c r="AM30" s="12"/>
      <c r="AN30" s="12"/>
      <c r="AO30" s="12"/>
      <c r="AP30" s="31"/>
      <c r="AQ30" s="18"/>
      <c r="AR30" s="12"/>
      <c r="AS30" s="12"/>
      <c r="AT30" s="12"/>
    </row>
    <row r="31" spans="1:46" x14ac:dyDescent="0.25">
      <c r="A31" s="47"/>
      <c r="B31" s="47"/>
      <c r="C31" s="47"/>
      <c r="D31" s="47"/>
      <c r="E31" s="23"/>
      <c r="F31" s="23"/>
      <c r="G31" s="30"/>
      <c r="H31" s="14"/>
      <c r="I31" s="15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5"/>
      <c r="AL31" s="16"/>
      <c r="AM31" s="12"/>
      <c r="AN31" s="12"/>
      <c r="AO31" s="12"/>
      <c r="AP31" s="13"/>
      <c r="AQ31" s="11"/>
      <c r="AR31" s="12"/>
      <c r="AS31" s="12"/>
      <c r="AT31" s="12"/>
    </row>
    <row r="32" spans="1:46" x14ac:dyDescent="0.25">
      <c r="A32" s="58" t="s">
        <v>11</v>
      </c>
      <c r="B32" s="58"/>
      <c r="C32" s="58"/>
      <c r="D32" s="58"/>
      <c r="E32" s="12"/>
      <c r="F32" s="12"/>
      <c r="G32" s="12"/>
      <c r="H32" s="12"/>
      <c r="I32" s="13"/>
      <c r="J32" s="11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3"/>
      <c r="AK32" s="12"/>
      <c r="AL32" s="12"/>
      <c r="AM32" s="12"/>
      <c r="AN32" s="12"/>
      <c r="AO32" s="49">
        <v>2.5</v>
      </c>
      <c r="AP32" s="49"/>
      <c r="AQ32" s="49"/>
      <c r="AR32" s="49"/>
      <c r="AS32" s="12"/>
      <c r="AT32" s="12"/>
    </row>
    <row r="33" spans="1:46" x14ac:dyDescent="0.25">
      <c r="A33" s="47"/>
      <c r="B33" s="47"/>
      <c r="C33" s="47"/>
      <c r="D33" s="47"/>
      <c r="E33" s="23"/>
      <c r="F33" s="23"/>
      <c r="G33" s="23"/>
      <c r="H33" s="23"/>
      <c r="I33" s="30"/>
      <c r="J33" s="14"/>
      <c r="K33" s="15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5"/>
      <c r="AJ33" s="16"/>
      <c r="AK33" s="12"/>
      <c r="AL33" s="12"/>
      <c r="AM33" s="12"/>
      <c r="AN33" s="12"/>
      <c r="AO33" s="10"/>
      <c r="AP33" s="34"/>
      <c r="AQ33" s="33"/>
      <c r="AR33" s="10"/>
      <c r="AS33" s="12"/>
      <c r="AT33" s="12"/>
    </row>
    <row r="34" spans="1:46" ht="7.5" customHeight="1" x14ac:dyDescent="0.25">
      <c r="A34" s="46" t="s">
        <v>14</v>
      </c>
      <c r="B34" s="46"/>
      <c r="C34" s="46"/>
      <c r="D34" s="46"/>
      <c r="E34" s="12"/>
      <c r="F34" s="12"/>
      <c r="G34" s="12"/>
      <c r="H34" s="12"/>
      <c r="I34" s="12"/>
      <c r="J34" s="12"/>
      <c r="K34" s="12"/>
      <c r="L34" s="11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3"/>
      <c r="AI34" s="12"/>
      <c r="AJ34" s="12"/>
      <c r="AK34" s="12"/>
      <c r="AL34" s="12"/>
      <c r="AM34" s="12"/>
      <c r="AN34" s="12"/>
      <c r="AO34" s="33"/>
      <c r="AP34" s="34"/>
      <c r="AQ34" s="33"/>
      <c r="AR34" s="33"/>
      <c r="AS34" s="12"/>
      <c r="AT34" s="12"/>
    </row>
    <row r="35" spans="1:46" ht="7.5" customHeight="1" x14ac:dyDescent="0.25">
      <c r="A35" s="47"/>
      <c r="B35" s="47"/>
      <c r="C35" s="47"/>
      <c r="D35" s="47"/>
      <c r="E35" s="23"/>
      <c r="F35" s="23"/>
      <c r="G35" s="23"/>
      <c r="H35" s="23"/>
      <c r="I35" s="23"/>
      <c r="J35" s="23"/>
      <c r="K35" s="30"/>
      <c r="L35" s="14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6"/>
      <c r="AI35" s="12"/>
      <c r="AJ35" s="12"/>
      <c r="AK35" s="12"/>
      <c r="AL35" s="12"/>
      <c r="AM35" s="12"/>
      <c r="AN35" s="12"/>
      <c r="AO35" s="12"/>
      <c r="AP35" s="16"/>
      <c r="AQ35" s="14"/>
      <c r="AR35" s="12"/>
      <c r="AS35" s="12"/>
      <c r="AT35" s="12"/>
    </row>
    <row r="36" spans="1:46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</row>
    <row r="37" spans="1:46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4"/>
      <c r="M37" s="15"/>
      <c r="N37" s="15"/>
      <c r="O37" s="15"/>
      <c r="P37" s="15"/>
      <c r="Q37" s="15"/>
      <c r="R37" s="15"/>
      <c r="S37" s="15"/>
      <c r="T37" s="15"/>
      <c r="U37" s="15"/>
      <c r="V37" s="49">
        <f>V27-4</f>
        <v>34</v>
      </c>
      <c r="W37" s="66"/>
      <c r="X37" s="66"/>
      <c r="Y37" s="15"/>
      <c r="Z37" s="15"/>
      <c r="AA37" s="15"/>
      <c r="AB37" s="15"/>
      <c r="AC37" s="15"/>
      <c r="AD37" s="15"/>
      <c r="AE37" s="15"/>
      <c r="AF37" s="15"/>
      <c r="AG37" s="15"/>
      <c r="AH37" s="16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</row>
    <row r="38" spans="1:46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8"/>
      <c r="M38" s="19"/>
      <c r="N38" s="19"/>
      <c r="O38" s="19"/>
      <c r="P38" s="19"/>
      <c r="Q38" s="19"/>
      <c r="R38" s="19"/>
      <c r="S38" s="19"/>
      <c r="T38" s="19"/>
      <c r="U38" s="19"/>
      <c r="V38" s="66"/>
      <c r="W38" s="66"/>
      <c r="X38" s="66"/>
      <c r="Y38" s="19"/>
      <c r="Z38" s="19"/>
      <c r="AA38" s="19"/>
      <c r="AB38" s="19"/>
      <c r="AC38" s="19"/>
      <c r="AD38" s="19"/>
      <c r="AE38" s="19"/>
      <c r="AF38" s="19"/>
      <c r="AG38" s="19"/>
      <c r="AH38" s="31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</row>
    <row r="39" spans="1:46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</row>
    <row r="40" spans="1:46" x14ac:dyDescent="0.25"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</row>
    <row r="41" spans="1:46" x14ac:dyDescent="0.25">
      <c r="A41" s="48" t="s">
        <v>13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</row>
    <row r="42" spans="1:46" x14ac:dyDescent="0.25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</row>
    <row r="43" spans="1:46" x14ac:dyDescent="0.25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</row>
  </sheetData>
  <mergeCells count="70">
    <mergeCell ref="A41:AT43"/>
    <mergeCell ref="V27:X28"/>
    <mergeCell ref="S1:U2"/>
    <mergeCell ref="V37:X38"/>
    <mergeCell ref="A29:D29"/>
    <mergeCell ref="A30:D31"/>
    <mergeCell ref="A32:D33"/>
    <mergeCell ref="AO32:AR32"/>
    <mergeCell ref="A34:D35"/>
    <mergeCell ref="AF21:AT22"/>
    <mergeCell ref="J23:N24"/>
    <mergeCell ref="O23:S24"/>
    <mergeCell ref="T23:X24"/>
    <mergeCell ref="Y23:AB24"/>
    <mergeCell ref="AF23:AT24"/>
    <mergeCell ref="I20:I24"/>
    <mergeCell ref="AF17:AT18"/>
    <mergeCell ref="J18:N19"/>
    <mergeCell ref="O18:S19"/>
    <mergeCell ref="T18:X19"/>
    <mergeCell ref="Y18:AB19"/>
    <mergeCell ref="AF19:AT20"/>
    <mergeCell ref="J20:N22"/>
    <mergeCell ref="O20:S22"/>
    <mergeCell ref="T20:X22"/>
    <mergeCell ref="Y20:AB22"/>
    <mergeCell ref="Y15:AB17"/>
    <mergeCell ref="Y13:AB14"/>
    <mergeCell ref="E14:H15"/>
    <mergeCell ref="I15:I19"/>
    <mergeCell ref="J15:N17"/>
    <mergeCell ref="O15:S17"/>
    <mergeCell ref="T15:X17"/>
    <mergeCell ref="AK9:AO10"/>
    <mergeCell ref="AP9:AT10"/>
    <mergeCell ref="I10:I14"/>
    <mergeCell ref="J10:N12"/>
    <mergeCell ref="O10:S12"/>
    <mergeCell ref="T10:X12"/>
    <mergeCell ref="Y10:AB12"/>
    <mergeCell ref="AF11:AT16"/>
    <mergeCell ref="J13:N14"/>
    <mergeCell ref="J8:N9"/>
    <mergeCell ref="O8:S9"/>
    <mergeCell ref="T8:X9"/>
    <mergeCell ref="Y8:AB9"/>
    <mergeCell ref="AF9:AJ10"/>
    <mergeCell ref="O13:S14"/>
    <mergeCell ref="T13:X14"/>
    <mergeCell ref="AF5:AJ6"/>
    <mergeCell ref="AK5:AO6"/>
    <mergeCell ref="AP5:AT6"/>
    <mergeCell ref="AF7:AJ8"/>
    <mergeCell ref="AK7:AO8"/>
    <mergeCell ref="AP7:AT8"/>
    <mergeCell ref="J4:N4"/>
    <mergeCell ref="O4:S4"/>
    <mergeCell ref="T4:X4"/>
    <mergeCell ref="Y4:AB4"/>
    <mergeCell ref="I5:I9"/>
    <mergeCell ref="J5:N7"/>
    <mergeCell ref="O5:S7"/>
    <mergeCell ref="T5:X7"/>
    <mergeCell ref="Y5:AB7"/>
    <mergeCell ref="AF1:AJ2"/>
    <mergeCell ref="AK1:AO2"/>
    <mergeCell ref="AP1:AT2"/>
    <mergeCell ref="AF3:AJ4"/>
    <mergeCell ref="AK3:AO4"/>
    <mergeCell ref="AP3:AT4"/>
  </mergeCells>
  <phoneticPr fontId="1" type="noConversion"/>
  <pageMargins left="0.7" right="0.7" top="0.75" bottom="0.75" header="0.3" footer="0.3"/>
  <pageSetup paperSize="9" scale="75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166F6-3F46-444D-8878-3CCE839CDC25}">
  <sheetPr>
    <pageSetUpPr fitToPage="1"/>
  </sheetPr>
  <dimension ref="A1:AU46"/>
  <sheetViews>
    <sheetView workbookViewId="0">
      <selection activeCell="J5" sqref="J5:N6"/>
    </sheetView>
  </sheetViews>
  <sheetFormatPr defaultColWidth="2.7109375" defaultRowHeight="15" x14ac:dyDescent="0.25"/>
  <cols>
    <col min="1" max="8" width="2.7109375" style="1"/>
    <col min="9" max="9" width="2.7109375" style="1" customWidth="1"/>
    <col min="10" max="16384" width="2.7109375" style="1"/>
  </cols>
  <sheetData>
    <row r="1" spans="6:47" x14ac:dyDescent="0.25">
      <c r="J1" s="7"/>
      <c r="K1" s="8"/>
      <c r="L1" s="8"/>
      <c r="M1" s="8"/>
      <c r="N1" s="8"/>
      <c r="O1" s="8"/>
      <c r="P1" s="8"/>
      <c r="Q1" s="8"/>
      <c r="R1" s="8"/>
      <c r="S1" s="8"/>
      <c r="T1" s="49">
        <f>SUM(J4:AC4)</f>
        <v>40</v>
      </c>
      <c r="U1" s="49"/>
      <c r="V1" s="49"/>
      <c r="W1" s="8"/>
      <c r="X1" s="8"/>
      <c r="Y1" s="8"/>
      <c r="Z1" s="8"/>
      <c r="AA1" s="8"/>
      <c r="AB1" s="8"/>
      <c r="AC1" s="9"/>
      <c r="AG1" s="83" t="s">
        <v>0</v>
      </c>
      <c r="AH1" s="83"/>
      <c r="AI1" s="83"/>
      <c r="AJ1" s="83"/>
      <c r="AK1" s="83"/>
      <c r="AL1" s="83" t="s">
        <v>1</v>
      </c>
      <c r="AM1" s="83"/>
      <c r="AN1" s="83"/>
      <c r="AO1" s="83"/>
      <c r="AP1" s="83"/>
      <c r="AQ1" s="83" t="s">
        <v>2</v>
      </c>
      <c r="AR1" s="83"/>
      <c r="AS1" s="83"/>
      <c r="AT1" s="83"/>
      <c r="AU1" s="83"/>
    </row>
    <row r="2" spans="6:47" x14ac:dyDescent="0.25">
      <c r="J2" s="2"/>
      <c r="K2" s="3"/>
      <c r="L2" s="3"/>
      <c r="M2" s="3"/>
      <c r="N2" s="3"/>
      <c r="O2" s="3"/>
      <c r="P2" s="3"/>
      <c r="Q2" s="3"/>
      <c r="R2" s="3"/>
      <c r="S2" s="3"/>
      <c r="T2" s="49"/>
      <c r="U2" s="49"/>
      <c r="V2" s="49"/>
      <c r="W2" s="3"/>
      <c r="X2" s="3"/>
      <c r="Y2" s="3"/>
      <c r="Z2" s="3"/>
      <c r="AA2" s="3"/>
      <c r="AB2" s="3"/>
      <c r="AC2" s="4"/>
      <c r="AE2" s="12"/>
      <c r="AF2" s="12"/>
      <c r="AG2" s="83"/>
      <c r="AH2" s="83"/>
      <c r="AI2" s="83"/>
      <c r="AJ2" s="83"/>
      <c r="AK2" s="83"/>
      <c r="AL2" s="83"/>
      <c r="AM2" s="83"/>
      <c r="AN2" s="83"/>
      <c r="AO2" s="83"/>
      <c r="AP2" s="83"/>
      <c r="AQ2" s="83"/>
      <c r="AR2" s="83"/>
      <c r="AS2" s="83"/>
      <c r="AT2" s="83"/>
      <c r="AU2" s="83"/>
    </row>
    <row r="3" spans="6:47" x14ac:dyDescent="0.25">
      <c r="AE3" s="12"/>
      <c r="AF3" s="12"/>
      <c r="AG3" s="80" t="s">
        <v>58</v>
      </c>
      <c r="AH3" s="80"/>
      <c r="AI3" s="80"/>
      <c r="AJ3" s="80"/>
      <c r="AK3" s="80"/>
      <c r="AL3" s="81">
        <f>SUM(J5+O5+T5+Y5)/4</f>
        <v>98.685000000000002</v>
      </c>
      <c r="AM3" s="81"/>
      <c r="AN3" s="81"/>
      <c r="AO3" s="81"/>
      <c r="AP3" s="81"/>
      <c r="AQ3" s="81">
        <f>100-AL3</f>
        <v>1.3149999999999977</v>
      </c>
      <c r="AR3" s="81"/>
      <c r="AS3" s="81"/>
      <c r="AT3" s="81"/>
      <c r="AU3" s="81"/>
    </row>
    <row r="4" spans="6:47" x14ac:dyDescent="0.25">
      <c r="J4" s="82">
        <v>10</v>
      </c>
      <c r="K4" s="82"/>
      <c r="L4" s="82"/>
      <c r="M4" s="82"/>
      <c r="N4" s="82"/>
      <c r="O4" s="82">
        <v>10</v>
      </c>
      <c r="P4" s="82"/>
      <c r="Q4" s="82"/>
      <c r="R4" s="82"/>
      <c r="S4" s="82"/>
      <c r="T4" s="82">
        <v>10</v>
      </c>
      <c r="U4" s="82"/>
      <c r="V4" s="82"/>
      <c r="W4" s="82"/>
      <c r="X4" s="82"/>
      <c r="Y4" s="82">
        <v>10</v>
      </c>
      <c r="Z4" s="82"/>
      <c r="AA4" s="82"/>
      <c r="AB4" s="82"/>
      <c r="AC4" s="82"/>
      <c r="AE4" s="12"/>
      <c r="AF4" s="12"/>
      <c r="AG4" s="80"/>
      <c r="AH4" s="80"/>
      <c r="AI4" s="80"/>
      <c r="AJ4" s="80"/>
      <c r="AK4" s="80"/>
      <c r="AL4" s="81"/>
      <c r="AM4" s="81"/>
      <c r="AN4" s="81"/>
      <c r="AO4" s="81"/>
      <c r="AP4" s="81"/>
      <c r="AQ4" s="81"/>
      <c r="AR4" s="81"/>
      <c r="AS4" s="81"/>
      <c r="AT4" s="81"/>
      <c r="AU4" s="81"/>
    </row>
    <row r="5" spans="6:47" x14ac:dyDescent="0.25">
      <c r="F5" s="4"/>
      <c r="G5" s="2"/>
      <c r="I5" s="59">
        <v>5</v>
      </c>
      <c r="J5" s="60">
        <f>100-1.35</f>
        <v>98.65</v>
      </c>
      <c r="K5" s="61"/>
      <c r="L5" s="61"/>
      <c r="M5" s="61"/>
      <c r="N5" s="62"/>
      <c r="O5" s="60">
        <f>100-1.28</f>
        <v>98.72</v>
      </c>
      <c r="P5" s="61"/>
      <c r="Q5" s="61"/>
      <c r="R5" s="61"/>
      <c r="S5" s="62"/>
      <c r="T5" s="60">
        <f>100-1.3</f>
        <v>98.7</v>
      </c>
      <c r="U5" s="61"/>
      <c r="V5" s="61"/>
      <c r="W5" s="61"/>
      <c r="X5" s="62"/>
      <c r="Y5" s="60">
        <f>100-1.33</f>
        <v>98.67</v>
      </c>
      <c r="Z5" s="61"/>
      <c r="AA5" s="61"/>
      <c r="AB5" s="61"/>
      <c r="AC5" s="62"/>
      <c r="AE5" s="12"/>
      <c r="AF5" s="12"/>
      <c r="AG5" s="80" t="s">
        <v>59</v>
      </c>
      <c r="AH5" s="80"/>
      <c r="AI5" s="80"/>
      <c r="AJ5" s="80"/>
      <c r="AK5" s="80"/>
      <c r="AL5" s="81">
        <f>SUM(Y8+Y13+Y18+Y23+T23+O23+J23+J18+J13+J8)/10</f>
        <v>98.726000000000013</v>
      </c>
      <c r="AM5" s="81"/>
      <c r="AN5" s="81"/>
      <c r="AO5" s="81"/>
      <c r="AP5" s="81"/>
      <c r="AQ5" s="81">
        <f t="shared" ref="AQ5" si="0">100-AL5</f>
        <v>1.2739999999999867</v>
      </c>
      <c r="AR5" s="81"/>
      <c r="AS5" s="81"/>
      <c r="AT5" s="81"/>
      <c r="AU5" s="81"/>
    </row>
    <row r="6" spans="6:47" ht="15" customHeight="1" x14ac:dyDescent="0.25">
      <c r="F6" s="6"/>
      <c r="G6" s="5"/>
      <c r="I6" s="59"/>
      <c r="J6" s="63"/>
      <c r="K6" s="49"/>
      <c r="L6" s="49"/>
      <c r="M6" s="49"/>
      <c r="N6" s="64"/>
      <c r="O6" s="63"/>
      <c r="P6" s="49"/>
      <c r="Q6" s="49"/>
      <c r="R6" s="49"/>
      <c r="S6" s="64"/>
      <c r="T6" s="63"/>
      <c r="U6" s="49"/>
      <c r="V6" s="49"/>
      <c r="W6" s="49"/>
      <c r="X6" s="64"/>
      <c r="Y6" s="63"/>
      <c r="Z6" s="49"/>
      <c r="AA6" s="49"/>
      <c r="AB6" s="49"/>
      <c r="AC6" s="64"/>
      <c r="AE6" s="12"/>
      <c r="AF6" s="12"/>
      <c r="AG6" s="80"/>
      <c r="AH6" s="80"/>
      <c r="AI6" s="80"/>
      <c r="AJ6" s="80"/>
      <c r="AK6" s="80"/>
      <c r="AL6" s="81"/>
      <c r="AM6" s="81"/>
      <c r="AN6" s="81"/>
      <c r="AO6" s="81"/>
      <c r="AP6" s="81"/>
      <c r="AQ6" s="81"/>
      <c r="AR6" s="81"/>
      <c r="AS6" s="81"/>
      <c r="AT6" s="81"/>
      <c r="AU6" s="81"/>
    </row>
    <row r="7" spans="6:47" x14ac:dyDescent="0.25">
      <c r="F7" s="6"/>
      <c r="G7" s="5"/>
      <c r="I7" s="59"/>
      <c r="J7" s="68">
        <v>1</v>
      </c>
      <c r="K7" s="69"/>
      <c r="L7" s="69"/>
      <c r="M7" s="69"/>
      <c r="N7" s="70"/>
      <c r="O7" s="68">
        <v>2</v>
      </c>
      <c r="P7" s="69"/>
      <c r="Q7" s="69"/>
      <c r="R7" s="69"/>
      <c r="S7" s="70"/>
      <c r="T7" s="68">
        <v>3</v>
      </c>
      <c r="U7" s="69"/>
      <c r="V7" s="69"/>
      <c r="W7" s="69"/>
      <c r="X7" s="70"/>
      <c r="Y7" s="68">
        <v>4</v>
      </c>
      <c r="Z7" s="69"/>
      <c r="AA7" s="69"/>
      <c r="AB7" s="69"/>
      <c r="AC7" s="70"/>
      <c r="AE7" s="12"/>
      <c r="AF7" s="12"/>
      <c r="AG7" s="80" t="s">
        <v>60</v>
      </c>
      <c r="AH7" s="80"/>
      <c r="AI7" s="80"/>
      <c r="AJ7" s="80"/>
      <c r="AK7" s="80"/>
      <c r="AL7" s="81">
        <f>SUM(O8+T8+T13+T18+O18+O13)/6</f>
        <v>98.384999999999991</v>
      </c>
      <c r="AM7" s="81"/>
      <c r="AN7" s="81"/>
      <c r="AO7" s="81"/>
      <c r="AP7" s="81"/>
      <c r="AQ7" s="81">
        <f t="shared" ref="AQ7" si="1">100-AL7</f>
        <v>1.6150000000000091</v>
      </c>
      <c r="AR7" s="81"/>
      <c r="AS7" s="81"/>
      <c r="AT7" s="81"/>
      <c r="AU7" s="81"/>
    </row>
    <row r="8" spans="6:47" ht="15" customHeight="1" x14ac:dyDescent="0.25">
      <c r="F8" s="6"/>
      <c r="G8" s="5"/>
      <c r="I8" s="59">
        <v>10</v>
      </c>
      <c r="J8" s="60">
        <f>100-1.27</f>
        <v>98.73</v>
      </c>
      <c r="K8" s="61"/>
      <c r="L8" s="61"/>
      <c r="M8" s="61"/>
      <c r="N8" s="62"/>
      <c r="O8" s="60">
        <f>SUM(J8+J5+O5)/3-0.3</f>
        <v>98.4</v>
      </c>
      <c r="P8" s="61"/>
      <c r="Q8" s="61"/>
      <c r="R8" s="61"/>
      <c r="S8" s="62"/>
      <c r="T8" s="60">
        <f>SUM(T5+Y5+Y8)/3-0.3</f>
        <v>98.406666666666666</v>
      </c>
      <c r="U8" s="61"/>
      <c r="V8" s="61"/>
      <c r="W8" s="61"/>
      <c r="X8" s="62"/>
      <c r="Y8" s="60">
        <f>100-1.25</f>
        <v>98.75</v>
      </c>
      <c r="Z8" s="61"/>
      <c r="AA8" s="61"/>
      <c r="AB8" s="61"/>
      <c r="AC8" s="62"/>
      <c r="AE8" s="12"/>
      <c r="AF8" s="12"/>
      <c r="AG8" s="80"/>
      <c r="AH8" s="80"/>
      <c r="AI8" s="80"/>
      <c r="AJ8" s="80"/>
      <c r="AK8" s="80"/>
      <c r="AL8" s="81"/>
      <c r="AM8" s="81"/>
      <c r="AN8" s="81"/>
      <c r="AO8" s="81"/>
      <c r="AP8" s="81"/>
      <c r="AQ8" s="81"/>
      <c r="AR8" s="81"/>
      <c r="AS8" s="81"/>
      <c r="AT8" s="81"/>
      <c r="AU8" s="81"/>
    </row>
    <row r="9" spans="6:47" x14ac:dyDescent="0.25">
      <c r="F9" s="6"/>
      <c r="G9" s="5"/>
      <c r="I9" s="59"/>
      <c r="J9" s="63"/>
      <c r="K9" s="49"/>
      <c r="L9" s="49"/>
      <c r="M9" s="49"/>
      <c r="N9" s="64"/>
      <c r="O9" s="63"/>
      <c r="P9" s="49"/>
      <c r="Q9" s="49"/>
      <c r="R9" s="49"/>
      <c r="S9" s="64"/>
      <c r="T9" s="63"/>
      <c r="U9" s="49"/>
      <c r="V9" s="49"/>
      <c r="W9" s="49"/>
      <c r="X9" s="64"/>
      <c r="Y9" s="63"/>
      <c r="Z9" s="49"/>
      <c r="AA9" s="49"/>
      <c r="AB9" s="49"/>
      <c r="AC9" s="64"/>
      <c r="AE9" s="12"/>
      <c r="AF9" s="12"/>
      <c r="AG9" s="80"/>
      <c r="AH9" s="80"/>
      <c r="AI9" s="80"/>
      <c r="AJ9" s="80"/>
      <c r="AK9" s="80"/>
      <c r="AL9" s="81"/>
      <c r="AM9" s="81"/>
      <c r="AN9" s="81"/>
      <c r="AO9" s="81"/>
      <c r="AP9" s="81"/>
      <c r="AQ9" s="81"/>
      <c r="AR9" s="81"/>
      <c r="AS9" s="81"/>
      <c r="AT9" s="81"/>
      <c r="AU9" s="81"/>
    </row>
    <row r="10" spans="6:47" x14ac:dyDescent="0.25">
      <c r="F10" s="6"/>
      <c r="G10" s="5"/>
      <c r="I10" s="59"/>
      <c r="J10" s="63"/>
      <c r="K10" s="49"/>
      <c r="L10" s="49"/>
      <c r="M10" s="49"/>
      <c r="N10" s="64"/>
      <c r="O10" s="63"/>
      <c r="P10" s="49"/>
      <c r="Q10" s="49"/>
      <c r="R10" s="49"/>
      <c r="S10" s="64"/>
      <c r="T10" s="63"/>
      <c r="U10" s="49"/>
      <c r="V10" s="49"/>
      <c r="W10" s="49"/>
      <c r="X10" s="64"/>
      <c r="Y10" s="63"/>
      <c r="Z10" s="49"/>
      <c r="AA10" s="49"/>
      <c r="AB10" s="49"/>
      <c r="AC10" s="64"/>
      <c r="AE10" s="12"/>
      <c r="AF10" s="12"/>
      <c r="AG10" s="80"/>
      <c r="AH10" s="80"/>
      <c r="AI10" s="80"/>
      <c r="AJ10" s="80"/>
      <c r="AK10" s="80"/>
      <c r="AL10" s="81"/>
      <c r="AM10" s="81"/>
      <c r="AN10" s="81"/>
      <c r="AO10" s="81"/>
      <c r="AP10" s="81"/>
      <c r="AQ10" s="81"/>
      <c r="AR10" s="81"/>
      <c r="AS10" s="81"/>
      <c r="AT10" s="81"/>
      <c r="AU10" s="81"/>
    </row>
    <row r="11" spans="6:47" x14ac:dyDescent="0.25">
      <c r="F11" s="6"/>
      <c r="G11" s="5"/>
      <c r="I11" s="59"/>
      <c r="J11" s="65">
        <v>14</v>
      </c>
      <c r="K11" s="66"/>
      <c r="L11" s="66"/>
      <c r="M11" s="66"/>
      <c r="N11" s="67"/>
      <c r="O11" s="65">
        <v>15</v>
      </c>
      <c r="P11" s="66"/>
      <c r="Q11" s="66"/>
      <c r="R11" s="66"/>
      <c r="S11" s="67"/>
      <c r="T11" s="65">
        <v>16</v>
      </c>
      <c r="U11" s="66"/>
      <c r="V11" s="66"/>
      <c r="W11" s="66"/>
      <c r="X11" s="67"/>
      <c r="Y11" s="65">
        <v>5</v>
      </c>
      <c r="Z11" s="66"/>
      <c r="AA11" s="66"/>
      <c r="AB11" s="66"/>
      <c r="AC11" s="67"/>
      <c r="AE11" s="12"/>
      <c r="AF11" s="12"/>
      <c r="AG11" s="80"/>
      <c r="AH11" s="80"/>
      <c r="AI11" s="80"/>
      <c r="AJ11" s="80"/>
      <c r="AK11" s="80"/>
      <c r="AL11" s="81"/>
      <c r="AM11" s="81"/>
      <c r="AN11" s="81"/>
      <c r="AO11" s="81"/>
      <c r="AP11" s="81"/>
      <c r="AQ11" s="81"/>
      <c r="AR11" s="81"/>
      <c r="AS11" s="81"/>
      <c r="AT11" s="81"/>
      <c r="AU11" s="81"/>
    </row>
    <row r="12" spans="6:47" x14ac:dyDescent="0.25">
      <c r="F12" s="6"/>
      <c r="G12" s="5"/>
      <c r="I12" s="59"/>
      <c r="J12" s="68"/>
      <c r="K12" s="69"/>
      <c r="L12" s="69"/>
      <c r="M12" s="69"/>
      <c r="N12" s="70"/>
      <c r="O12" s="68"/>
      <c r="P12" s="69"/>
      <c r="Q12" s="69"/>
      <c r="R12" s="69"/>
      <c r="S12" s="70"/>
      <c r="T12" s="68"/>
      <c r="U12" s="69"/>
      <c r="V12" s="69"/>
      <c r="W12" s="69"/>
      <c r="X12" s="70"/>
      <c r="Y12" s="68"/>
      <c r="Z12" s="69"/>
      <c r="AA12" s="69"/>
      <c r="AB12" s="69"/>
      <c r="AC12" s="70"/>
      <c r="AE12" s="12"/>
      <c r="AF12" s="12"/>
      <c r="AG12" s="80"/>
      <c r="AH12" s="80"/>
      <c r="AI12" s="80"/>
      <c r="AJ12" s="80"/>
      <c r="AK12" s="80"/>
      <c r="AL12" s="81"/>
      <c r="AM12" s="81"/>
      <c r="AN12" s="81"/>
      <c r="AO12" s="81"/>
      <c r="AP12" s="81"/>
      <c r="AQ12" s="81"/>
      <c r="AR12" s="81"/>
      <c r="AS12" s="81"/>
      <c r="AT12" s="81"/>
      <c r="AU12" s="81"/>
    </row>
    <row r="13" spans="6:47" x14ac:dyDescent="0.25">
      <c r="F13" s="6"/>
      <c r="G13" s="5"/>
      <c r="I13" s="59">
        <v>10</v>
      </c>
      <c r="J13" s="60">
        <f>100-1.27</f>
        <v>98.73</v>
      </c>
      <c r="K13" s="61"/>
      <c r="L13" s="61"/>
      <c r="M13" s="61"/>
      <c r="N13" s="62"/>
      <c r="O13" s="60">
        <f>SUM(O8+O18)/2</f>
        <v>98.383333333333326</v>
      </c>
      <c r="P13" s="61"/>
      <c r="Q13" s="61"/>
      <c r="R13" s="61"/>
      <c r="S13" s="62"/>
      <c r="T13" s="60">
        <f>SUM(T8+T18)/2</f>
        <v>98.386666666666656</v>
      </c>
      <c r="U13" s="61"/>
      <c r="V13" s="61"/>
      <c r="W13" s="61"/>
      <c r="X13" s="62"/>
      <c r="Y13" s="60">
        <f>100-1.25</f>
        <v>98.75</v>
      </c>
      <c r="Z13" s="61"/>
      <c r="AA13" s="61"/>
      <c r="AB13" s="61"/>
      <c r="AC13" s="62"/>
      <c r="AE13" s="12"/>
      <c r="AF13" s="12"/>
      <c r="AG13" s="40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2"/>
    </row>
    <row r="14" spans="6:47" x14ac:dyDescent="0.25">
      <c r="F14" s="6"/>
      <c r="G14" s="5"/>
      <c r="I14" s="59"/>
      <c r="J14" s="63"/>
      <c r="K14" s="49"/>
      <c r="L14" s="49"/>
      <c r="M14" s="49"/>
      <c r="N14" s="64"/>
      <c r="O14" s="63"/>
      <c r="P14" s="49"/>
      <c r="Q14" s="49"/>
      <c r="R14" s="49"/>
      <c r="S14" s="64"/>
      <c r="T14" s="63"/>
      <c r="U14" s="49"/>
      <c r="V14" s="49"/>
      <c r="W14" s="49"/>
      <c r="X14" s="64"/>
      <c r="Y14" s="63"/>
      <c r="Z14" s="49"/>
      <c r="AA14" s="49"/>
      <c r="AB14" s="49"/>
      <c r="AC14" s="64"/>
      <c r="AE14" s="12"/>
      <c r="AF14" s="12"/>
      <c r="AG14" s="71" t="s">
        <v>61</v>
      </c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3"/>
    </row>
    <row r="15" spans="6:47" x14ac:dyDescent="0.25">
      <c r="F15" s="6"/>
      <c r="G15" s="5"/>
      <c r="I15" s="59"/>
      <c r="J15" s="63"/>
      <c r="K15" s="49"/>
      <c r="L15" s="49"/>
      <c r="M15" s="49"/>
      <c r="N15" s="64"/>
      <c r="O15" s="63"/>
      <c r="P15" s="49"/>
      <c r="Q15" s="49"/>
      <c r="R15" s="49"/>
      <c r="S15" s="64"/>
      <c r="T15" s="63"/>
      <c r="U15" s="49"/>
      <c r="V15" s="49"/>
      <c r="W15" s="49"/>
      <c r="X15" s="64"/>
      <c r="Y15" s="63"/>
      <c r="Z15" s="49"/>
      <c r="AA15" s="49"/>
      <c r="AB15" s="49"/>
      <c r="AC15" s="64"/>
      <c r="AE15" s="12"/>
      <c r="AF15" s="12"/>
      <c r="AG15" s="74"/>
      <c r="AH15" s="75"/>
      <c r="AI15" s="75"/>
      <c r="AJ15" s="75"/>
      <c r="AK15" s="75"/>
      <c r="AL15" s="75"/>
      <c r="AM15" s="75"/>
      <c r="AN15" s="75"/>
      <c r="AO15" s="75"/>
      <c r="AP15" s="75"/>
      <c r="AQ15" s="75"/>
      <c r="AR15" s="75"/>
      <c r="AS15" s="75"/>
      <c r="AT15" s="75"/>
      <c r="AU15" s="76"/>
    </row>
    <row r="16" spans="6:47" x14ac:dyDescent="0.25">
      <c r="F16" s="6"/>
      <c r="G16" s="5"/>
      <c r="I16" s="59"/>
      <c r="J16" s="65">
        <v>13</v>
      </c>
      <c r="K16" s="66"/>
      <c r="L16" s="66"/>
      <c r="M16" s="66"/>
      <c r="N16" s="67"/>
      <c r="O16" s="65">
        <v>20</v>
      </c>
      <c r="P16" s="66"/>
      <c r="Q16" s="66"/>
      <c r="R16" s="66"/>
      <c r="S16" s="67"/>
      <c r="T16" s="65">
        <v>17</v>
      </c>
      <c r="U16" s="66"/>
      <c r="V16" s="66"/>
      <c r="W16" s="66"/>
      <c r="X16" s="67"/>
      <c r="Y16" s="65">
        <v>6</v>
      </c>
      <c r="Z16" s="66"/>
      <c r="AA16" s="66"/>
      <c r="AB16" s="66"/>
      <c r="AC16" s="67"/>
      <c r="AE16" s="12"/>
      <c r="AF16" s="12"/>
      <c r="AG16" s="74"/>
      <c r="AH16" s="75"/>
      <c r="AI16" s="75"/>
      <c r="AJ16" s="75"/>
      <c r="AK16" s="75"/>
      <c r="AL16" s="75"/>
      <c r="AM16" s="75"/>
      <c r="AN16" s="75"/>
      <c r="AO16" s="75"/>
      <c r="AP16" s="75"/>
      <c r="AQ16" s="75"/>
      <c r="AR16" s="75"/>
      <c r="AS16" s="75"/>
      <c r="AT16" s="75"/>
      <c r="AU16" s="76"/>
    </row>
    <row r="17" spans="1:47" x14ac:dyDescent="0.25">
      <c r="E17" s="49">
        <f>SUM(I5:I27)</f>
        <v>45</v>
      </c>
      <c r="F17" s="49"/>
      <c r="G17" s="49"/>
      <c r="H17" s="49"/>
      <c r="I17" s="59"/>
      <c r="J17" s="68"/>
      <c r="K17" s="69"/>
      <c r="L17" s="69"/>
      <c r="M17" s="69"/>
      <c r="N17" s="70"/>
      <c r="O17" s="68"/>
      <c r="P17" s="69"/>
      <c r="Q17" s="69"/>
      <c r="R17" s="69"/>
      <c r="S17" s="70"/>
      <c r="T17" s="68"/>
      <c r="U17" s="69"/>
      <c r="V17" s="69"/>
      <c r="W17" s="69"/>
      <c r="X17" s="70"/>
      <c r="Y17" s="68"/>
      <c r="Z17" s="69"/>
      <c r="AA17" s="69"/>
      <c r="AB17" s="69"/>
      <c r="AC17" s="70"/>
      <c r="AE17" s="12"/>
      <c r="AF17" s="12"/>
      <c r="AG17" s="74"/>
      <c r="AH17" s="75"/>
      <c r="AI17" s="75"/>
      <c r="AJ17" s="75"/>
      <c r="AK17" s="75"/>
      <c r="AL17" s="75"/>
      <c r="AM17" s="75"/>
      <c r="AN17" s="75"/>
      <c r="AO17" s="75"/>
      <c r="AP17" s="75"/>
      <c r="AQ17" s="75"/>
      <c r="AR17" s="75"/>
      <c r="AS17" s="75"/>
      <c r="AT17" s="75"/>
      <c r="AU17" s="76"/>
    </row>
    <row r="18" spans="1:47" x14ac:dyDescent="0.25">
      <c r="E18" s="49"/>
      <c r="F18" s="49"/>
      <c r="G18" s="49"/>
      <c r="H18" s="49"/>
      <c r="I18" s="59">
        <v>10</v>
      </c>
      <c r="J18" s="60">
        <f>100-1.3</f>
        <v>98.7</v>
      </c>
      <c r="K18" s="61"/>
      <c r="L18" s="61"/>
      <c r="M18" s="61"/>
      <c r="N18" s="62"/>
      <c r="O18" s="60">
        <f>SUM(O23+J23+J18)/3-0.35</f>
        <v>98.36666666666666</v>
      </c>
      <c r="P18" s="61"/>
      <c r="Q18" s="61"/>
      <c r="R18" s="61"/>
      <c r="S18" s="62"/>
      <c r="T18" s="60">
        <f>SUM(Y18+Y23+T23)/3-0.35</f>
        <v>98.36666666666666</v>
      </c>
      <c r="U18" s="61"/>
      <c r="V18" s="61"/>
      <c r="W18" s="61"/>
      <c r="X18" s="62"/>
      <c r="Y18" s="60">
        <f>100-1.35</f>
        <v>98.65</v>
      </c>
      <c r="Z18" s="61"/>
      <c r="AA18" s="61"/>
      <c r="AB18" s="61"/>
      <c r="AC18" s="62"/>
      <c r="AE18" s="12"/>
      <c r="AF18" s="12"/>
      <c r="AG18" s="74"/>
      <c r="AH18" s="75"/>
      <c r="AI18" s="75"/>
      <c r="AJ18" s="75"/>
      <c r="AK18" s="75"/>
      <c r="AL18" s="75"/>
      <c r="AM18" s="75"/>
      <c r="AN18" s="75"/>
      <c r="AO18" s="75"/>
      <c r="AP18" s="75"/>
      <c r="AQ18" s="75"/>
      <c r="AR18" s="75"/>
      <c r="AS18" s="75"/>
      <c r="AT18" s="75"/>
      <c r="AU18" s="76"/>
    </row>
    <row r="19" spans="1:47" x14ac:dyDescent="0.25">
      <c r="F19" s="6"/>
      <c r="G19" s="5"/>
      <c r="I19" s="59"/>
      <c r="J19" s="63"/>
      <c r="K19" s="49"/>
      <c r="L19" s="49"/>
      <c r="M19" s="49"/>
      <c r="N19" s="64"/>
      <c r="O19" s="63"/>
      <c r="P19" s="49"/>
      <c r="Q19" s="49"/>
      <c r="R19" s="49"/>
      <c r="S19" s="64"/>
      <c r="T19" s="63"/>
      <c r="U19" s="49"/>
      <c r="V19" s="49"/>
      <c r="W19" s="49"/>
      <c r="X19" s="64"/>
      <c r="Y19" s="63"/>
      <c r="Z19" s="49"/>
      <c r="AA19" s="49"/>
      <c r="AB19" s="49"/>
      <c r="AC19" s="64"/>
      <c r="AE19" s="12"/>
      <c r="AF19" s="12"/>
      <c r="AG19" s="77"/>
      <c r="AH19" s="78"/>
      <c r="AI19" s="78"/>
      <c r="AJ19" s="78"/>
      <c r="AK19" s="78"/>
      <c r="AL19" s="78"/>
      <c r="AM19" s="78"/>
      <c r="AN19" s="78"/>
      <c r="AO19" s="78"/>
      <c r="AP19" s="78"/>
      <c r="AQ19" s="78"/>
      <c r="AR19" s="78"/>
      <c r="AS19" s="78"/>
      <c r="AT19" s="78"/>
      <c r="AU19" s="79"/>
    </row>
    <row r="20" spans="1:47" x14ac:dyDescent="0.25">
      <c r="E20" s="10"/>
      <c r="F20" s="6"/>
      <c r="G20" s="5"/>
      <c r="H20" s="12"/>
      <c r="I20" s="59"/>
      <c r="J20" s="63"/>
      <c r="K20" s="49"/>
      <c r="L20" s="49"/>
      <c r="M20" s="49"/>
      <c r="N20" s="64"/>
      <c r="O20" s="63"/>
      <c r="P20" s="49"/>
      <c r="Q20" s="49"/>
      <c r="R20" s="49"/>
      <c r="S20" s="64"/>
      <c r="T20" s="63"/>
      <c r="U20" s="49"/>
      <c r="V20" s="49"/>
      <c r="W20" s="49"/>
      <c r="X20" s="64"/>
      <c r="Y20" s="63"/>
      <c r="Z20" s="49"/>
      <c r="AA20" s="49"/>
      <c r="AB20" s="49"/>
      <c r="AC20" s="64"/>
      <c r="AE20" s="12"/>
      <c r="AF20" s="12"/>
      <c r="AG20" s="50" t="s">
        <v>62</v>
      </c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2"/>
    </row>
    <row r="21" spans="1:47" x14ac:dyDescent="0.25">
      <c r="F21" s="6"/>
      <c r="G21" s="5"/>
      <c r="I21" s="59"/>
      <c r="J21" s="65">
        <v>12</v>
      </c>
      <c r="K21" s="66"/>
      <c r="L21" s="66"/>
      <c r="M21" s="66"/>
      <c r="N21" s="67"/>
      <c r="O21" s="65">
        <v>19</v>
      </c>
      <c r="P21" s="66"/>
      <c r="Q21" s="66"/>
      <c r="R21" s="66"/>
      <c r="S21" s="67"/>
      <c r="T21" s="65">
        <v>18</v>
      </c>
      <c r="U21" s="66"/>
      <c r="V21" s="66"/>
      <c r="W21" s="66"/>
      <c r="X21" s="67"/>
      <c r="Y21" s="65">
        <v>7</v>
      </c>
      <c r="Z21" s="66"/>
      <c r="AA21" s="66"/>
      <c r="AB21" s="66"/>
      <c r="AC21" s="67"/>
      <c r="AE21" s="12"/>
      <c r="AF21" s="12"/>
      <c r="AG21" s="53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5"/>
    </row>
    <row r="22" spans="1:47" x14ac:dyDescent="0.25">
      <c r="E22" s="10"/>
      <c r="F22" s="6"/>
      <c r="G22" s="5"/>
      <c r="H22" s="12"/>
      <c r="I22" s="59"/>
      <c r="J22" s="68"/>
      <c r="K22" s="69"/>
      <c r="L22" s="69"/>
      <c r="M22" s="69"/>
      <c r="N22" s="70"/>
      <c r="O22" s="68"/>
      <c r="P22" s="69"/>
      <c r="Q22" s="69"/>
      <c r="R22" s="69"/>
      <c r="S22" s="70"/>
      <c r="T22" s="68"/>
      <c r="U22" s="69"/>
      <c r="V22" s="69"/>
      <c r="W22" s="69"/>
      <c r="X22" s="70"/>
      <c r="Y22" s="68"/>
      <c r="Z22" s="69"/>
      <c r="AA22" s="69"/>
      <c r="AB22" s="69"/>
      <c r="AC22" s="70"/>
      <c r="AE22" s="12"/>
      <c r="AF22" s="12"/>
      <c r="AG22" s="50" t="s">
        <v>52</v>
      </c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2"/>
    </row>
    <row r="23" spans="1:47" x14ac:dyDescent="0.25">
      <c r="F23" s="6"/>
      <c r="G23" s="5"/>
      <c r="I23" s="59">
        <v>10</v>
      </c>
      <c r="J23" s="60">
        <f>100-1.3</f>
        <v>98.7</v>
      </c>
      <c r="K23" s="61"/>
      <c r="L23" s="61"/>
      <c r="M23" s="61"/>
      <c r="N23" s="62"/>
      <c r="O23" s="60">
        <f>100-1.25</f>
        <v>98.75</v>
      </c>
      <c r="P23" s="61"/>
      <c r="Q23" s="61"/>
      <c r="R23" s="61"/>
      <c r="S23" s="62"/>
      <c r="T23" s="60">
        <f>100-1.22</f>
        <v>98.78</v>
      </c>
      <c r="U23" s="61"/>
      <c r="V23" s="61"/>
      <c r="W23" s="61"/>
      <c r="X23" s="62"/>
      <c r="Y23" s="60">
        <f>100-1.28</f>
        <v>98.72</v>
      </c>
      <c r="Z23" s="61"/>
      <c r="AA23" s="61"/>
      <c r="AB23" s="61"/>
      <c r="AC23" s="62"/>
      <c r="AE23" s="12"/>
      <c r="AF23" s="12"/>
      <c r="AG23" s="53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5"/>
    </row>
    <row r="24" spans="1:47" x14ac:dyDescent="0.25">
      <c r="F24" s="6"/>
      <c r="G24" s="5"/>
      <c r="I24" s="59"/>
      <c r="J24" s="63"/>
      <c r="K24" s="49"/>
      <c r="L24" s="49"/>
      <c r="M24" s="49"/>
      <c r="N24" s="64"/>
      <c r="O24" s="63"/>
      <c r="P24" s="49"/>
      <c r="Q24" s="49"/>
      <c r="R24" s="49"/>
      <c r="S24" s="64"/>
      <c r="T24" s="63"/>
      <c r="U24" s="49"/>
      <c r="V24" s="49"/>
      <c r="W24" s="49"/>
      <c r="X24" s="64"/>
      <c r="Y24" s="63"/>
      <c r="Z24" s="49"/>
      <c r="AA24" s="49"/>
      <c r="AB24" s="49"/>
      <c r="AC24" s="64"/>
      <c r="AE24" s="12"/>
      <c r="AF24" s="12"/>
      <c r="AG24" s="50" t="s">
        <v>53</v>
      </c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2"/>
    </row>
    <row r="25" spans="1:47" x14ac:dyDescent="0.25">
      <c r="F25" s="6"/>
      <c r="G25" s="5"/>
      <c r="I25" s="59"/>
      <c r="J25" s="63"/>
      <c r="K25" s="49"/>
      <c r="L25" s="49"/>
      <c r="M25" s="49"/>
      <c r="N25" s="64"/>
      <c r="O25" s="63"/>
      <c r="P25" s="49"/>
      <c r="Q25" s="49"/>
      <c r="R25" s="49"/>
      <c r="S25" s="64"/>
      <c r="T25" s="63"/>
      <c r="U25" s="49"/>
      <c r="V25" s="49"/>
      <c r="W25" s="49"/>
      <c r="X25" s="64"/>
      <c r="Y25" s="63"/>
      <c r="Z25" s="49"/>
      <c r="AA25" s="49"/>
      <c r="AB25" s="49"/>
      <c r="AC25" s="64"/>
      <c r="AE25" s="12"/>
      <c r="AF25" s="12"/>
      <c r="AG25" s="53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5"/>
    </row>
    <row r="26" spans="1:47" x14ac:dyDescent="0.25">
      <c r="F26" s="6"/>
      <c r="G26" s="5"/>
      <c r="I26" s="59"/>
      <c r="J26" s="65">
        <v>11</v>
      </c>
      <c r="K26" s="66"/>
      <c r="L26" s="66"/>
      <c r="M26" s="66"/>
      <c r="N26" s="67"/>
      <c r="O26" s="65">
        <v>10</v>
      </c>
      <c r="P26" s="66"/>
      <c r="Q26" s="66"/>
      <c r="R26" s="66"/>
      <c r="S26" s="67"/>
      <c r="T26" s="65">
        <v>9</v>
      </c>
      <c r="U26" s="66"/>
      <c r="V26" s="66"/>
      <c r="W26" s="66"/>
      <c r="X26" s="67"/>
      <c r="Y26" s="65">
        <v>8</v>
      </c>
      <c r="Z26" s="66"/>
      <c r="AA26" s="66"/>
      <c r="AB26" s="66"/>
      <c r="AC26" s="67"/>
      <c r="AE26" s="12"/>
      <c r="AF26" s="12"/>
      <c r="AG26" s="50" t="s">
        <v>57</v>
      </c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2"/>
    </row>
    <row r="27" spans="1:47" x14ac:dyDescent="0.25">
      <c r="F27" s="9"/>
      <c r="G27" s="7"/>
      <c r="I27" s="59"/>
      <c r="J27" s="68"/>
      <c r="K27" s="69"/>
      <c r="L27" s="69"/>
      <c r="M27" s="69"/>
      <c r="N27" s="70"/>
      <c r="O27" s="68"/>
      <c r="P27" s="69"/>
      <c r="Q27" s="69"/>
      <c r="R27" s="69"/>
      <c r="S27" s="70"/>
      <c r="T27" s="68"/>
      <c r="U27" s="69"/>
      <c r="V27" s="69"/>
      <c r="W27" s="69"/>
      <c r="X27" s="70"/>
      <c r="Y27" s="68"/>
      <c r="Z27" s="69"/>
      <c r="AA27" s="69"/>
      <c r="AB27" s="69"/>
      <c r="AC27" s="70"/>
      <c r="AE27" s="12"/>
      <c r="AF27" s="12"/>
      <c r="AG27" s="53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5"/>
    </row>
    <row r="28" spans="1:47" x14ac:dyDescent="0.25"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</row>
    <row r="30" spans="1:47" x14ac:dyDescent="0.25">
      <c r="H30" s="7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49">
        <f>T1</f>
        <v>40</v>
      </c>
      <c r="Z30" s="49"/>
      <c r="AA30" s="49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9"/>
    </row>
    <row r="31" spans="1:47" x14ac:dyDescent="0.25">
      <c r="A31" s="12"/>
      <c r="B31" s="12"/>
      <c r="C31" s="12"/>
      <c r="D31" s="12"/>
      <c r="E31" s="12"/>
      <c r="F31" s="12"/>
      <c r="G31" s="12"/>
      <c r="H31" s="18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49"/>
      <c r="Z31" s="49"/>
      <c r="AA31" s="4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31"/>
      <c r="AN31" s="12"/>
      <c r="AO31" s="12"/>
      <c r="AP31" s="12"/>
      <c r="AQ31" s="12"/>
      <c r="AR31" s="12"/>
      <c r="AS31" s="12"/>
      <c r="AT31" s="12"/>
      <c r="AU31" s="12"/>
    </row>
    <row r="32" spans="1:47" x14ac:dyDescent="0.25">
      <c r="A32" s="56" t="s">
        <v>9</v>
      </c>
      <c r="B32" s="56"/>
      <c r="C32" s="56"/>
      <c r="D32" s="56"/>
      <c r="E32" s="24"/>
      <c r="F32" s="28"/>
      <c r="G32" s="25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4"/>
      <c r="AO32" s="28"/>
      <c r="AP32" s="25"/>
      <c r="AQ32" s="12"/>
      <c r="AR32" s="12"/>
      <c r="AS32" s="26"/>
      <c r="AT32" s="26"/>
      <c r="AU32" s="26"/>
    </row>
    <row r="33" spans="1:47" x14ac:dyDescent="0.25">
      <c r="A33" s="57" t="s">
        <v>10</v>
      </c>
      <c r="B33" s="57"/>
      <c r="C33" s="57"/>
      <c r="D33" s="57"/>
      <c r="E33" s="27"/>
      <c r="F33" s="27"/>
      <c r="G33" s="29"/>
      <c r="H33" s="11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3"/>
      <c r="AN33" s="12"/>
      <c r="AO33" s="12"/>
      <c r="AP33" s="12"/>
      <c r="AQ33" s="31"/>
      <c r="AR33" s="18"/>
      <c r="AS33" s="12"/>
      <c r="AT33" s="12"/>
      <c r="AU33" s="12"/>
    </row>
    <row r="34" spans="1:47" x14ac:dyDescent="0.25">
      <c r="A34" s="47"/>
      <c r="B34" s="47"/>
      <c r="C34" s="47"/>
      <c r="D34" s="47"/>
      <c r="E34" s="23"/>
      <c r="F34" s="23"/>
      <c r="G34" s="30"/>
      <c r="H34" s="14"/>
      <c r="I34" s="15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5"/>
      <c r="AM34" s="16"/>
      <c r="AN34" s="12"/>
      <c r="AO34" s="12"/>
      <c r="AP34" s="10"/>
      <c r="AQ34" s="43"/>
      <c r="AR34" s="10"/>
      <c r="AS34" s="10"/>
      <c r="AT34" s="12"/>
      <c r="AU34" s="12"/>
    </row>
    <row r="35" spans="1:47" x14ac:dyDescent="0.25">
      <c r="A35" s="58" t="s">
        <v>11</v>
      </c>
      <c r="B35" s="58"/>
      <c r="C35" s="58"/>
      <c r="D35" s="58"/>
      <c r="E35" s="12"/>
      <c r="F35" s="12"/>
      <c r="G35" s="12"/>
      <c r="H35" s="12"/>
      <c r="I35" s="13"/>
      <c r="J35" s="11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3"/>
      <c r="AL35" s="12"/>
      <c r="AM35" s="12"/>
      <c r="AN35" s="12"/>
      <c r="AO35" s="12"/>
      <c r="AP35" s="49">
        <v>2.5</v>
      </c>
      <c r="AQ35" s="49"/>
      <c r="AR35" s="49"/>
      <c r="AS35" s="49"/>
      <c r="AT35" s="12"/>
      <c r="AU35" s="12"/>
    </row>
    <row r="36" spans="1:47" x14ac:dyDescent="0.25">
      <c r="A36" s="47"/>
      <c r="B36" s="47"/>
      <c r="C36" s="47"/>
      <c r="D36" s="47"/>
      <c r="E36" s="23"/>
      <c r="F36" s="23"/>
      <c r="G36" s="23"/>
      <c r="H36" s="23"/>
      <c r="I36" s="30"/>
      <c r="J36" s="14"/>
      <c r="K36" s="15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5"/>
      <c r="AK36" s="16"/>
      <c r="AL36" s="12"/>
      <c r="AM36" s="12"/>
      <c r="AN36" s="12"/>
      <c r="AO36" s="12"/>
      <c r="AP36" s="10"/>
      <c r="AQ36" s="34"/>
      <c r="AR36" s="33"/>
      <c r="AS36" s="10"/>
      <c r="AT36" s="12"/>
      <c r="AU36" s="12"/>
    </row>
    <row r="37" spans="1:47" ht="8.25" hidden="1" customHeight="1" x14ac:dyDescent="0.25">
      <c r="A37" s="46" t="s">
        <v>14</v>
      </c>
      <c r="B37" s="46"/>
      <c r="C37" s="46"/>
      <c r="D37" s="46"/>
      <c r="E37" s="12"/>
      <c r="F37" s="12"/>
      <c r="G37" s="12"/>
      <c r="H37" s="12"/>
      <c r="I37" s="12"/>
      <c r="J37" s="12"/>
      <c r="K37" s="12"/>
      <c r="L37" s="11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3"/>
      <c r="AJ37" s="12"/>
      <c r="AK37" s="12"/>
      <c r="AL37" s="12"/>
      <c r="AM37" s="12"/>
      <c r="AN37" s="12"/>
      <c r="AO37" s="12"/>
      <c r="AP37" s="33"/>
      <c r="AQ37" s="34"/>
      <c r="AR37" s="33"/>
      <c r="AS37" s="33"/>
      <c r="AT37" s="12"/>
      <c r="AU37" s="12"/>
    </row>
    <row r="38" spans="1:47" ht="15" customHeight="1" x14ac:dyDescent="0.25">
      <c r="A38" s="47"/>
      <c r="B38" s="47"/>
      <c r="C38" s="47"/>
      <c r="D38" s="47"/>
      <c r="E38" s="23"/>
      <c r="F38" s="23"/>
      <c r="G38" s="23"/>
      <c r="H38" s="23"/>
      <c r="I38" s="23"/>
      <c r="J38" s="23"/>
      <c r="K38" s="30"/>
      <c r="L38" s="14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6"/>
      <c r="AJ38" s="12"/>
      <c r="AK38" s="12"/>
      <c r="AL38" s="12"/>
      <c r="AM38" s="12"/>
      <c r="AN38" s="12"/>
      <c r="AO38" s="12"/>
      <c r="AP38" s="12"/>
      <c r="AQ38" s="16"/>
      <c r="AR38" s="14"/>
      <c r="AS38" s="12"/>
      <c r="AT38" s="12"/>
      <c r="AU38" s="12"/>
    </row>
    <row r="39" spans="1:47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</row>
    <row r="40" spans="1:47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4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49">
        <f>Y30-4</f>
        <v>36</v>
      </c>
      <c r="Z40" s="49"/>
      <c r="AA40" s="49"/>
      <c r="AB40" s="15"/>
      <c r="AC40" s="15"/>
      <c r="AD40" s="15"/>
      <c r="AE40" s="15"/>
      <c r="AF40" s="15"/>
      <c r="AG40" s="15"/>
      <c r="AH40" s="15"/>
      <c r="AI40" s="16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</row>
    <row r="41" spans="1:47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8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49"/>
      <c r="Z41" s="49"/>
      <c r="AA41" s="49"/>
      <c r="AB41" s="19"/>
      <c r="AC41" s="19"/>
      <c r="AD41" s="19"/>
      <c r="AE41" s="19"/>
      <c r="AF41" s="19"/>
      <c r="AG41" s="19"/>
      <c r="AH41" s="19"/>
      <c r="AI41" s="31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</row>
    <row r="42" spans="1:47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</row>
    <row r="43" spans="1:47" x14ac:dyDescent="0.25"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</row>
    <row r="44" spans="1:47" x14ac:dyDescent="0.25">
      <c r="A44" s="48" t="s">
        <v>13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</row>
    <row r="45" spans="1:47" x14ac:dyDescent="0.25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</row>
    <row r="46" spans="1:47" x14ac:dyDescent="0.25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</row>
  </sheetData>
  <mergeCells count="82">
    <mergeCell ref="AP35:AS35"/>
    <mergeCell ref="AQ9:AU10"/>
    <mergeCell ref="AG11:AK12"/>
    <mergeCell ref="AL11:AP12"/>
    <mergeCell ref="AQ11:AU12"/>
    <mergeCell ref="AG14:AU19"/>
    <mergeCell ref="Y40:AA41"/>
    <mergeCell ref="A44:AU46"/>
    <mergeCell ref="T1:V2"/>
    <mergeCell ref="AG7:AK8"/>
    <mergeCell ref="AL7:AP8"/>
    <mergeCell ref="AQ7:AU8"/>
    <mergeCell ref="AG9:AK10"/>
    <mergeCell ref="AL9:AP10"/>
    <mergeCell ref="Y30:AA31"/>
    <mergeCell ref="A32:D32"/>
    <mergeCell ref="A33:D34"/>
    <mergeCell ref="A35:D36"/>
    <mergeCell ref="A37:D38"/>
    <mergeCell ref="AG24:AU25"/>
    <mergeCell ref="J26:N27"/>
    <mergeCell ref="O26:S27"/>
    <mergeCell ref="T26:X27"/>
    <mergeCell ref="Y26:AC27"/>
    <mergeCell ref="AG26:AU27"/>
    <mergeCell ref="I23:I27"/>
    <mergeCell ref="J23:N25"/>
    <mergeCell ref="O23:S25"/>
    <mergeCell ref="T23:X25"/>
    <mergeCell ref="Y23:AC25"/>
    <mergeCell ref="E17:H18"/>
    <mergeCell ref="I18:I22"/>
    <mergeCell ref="J18:N20"/>
    <mergeCell ref="O18:S20"/>
    <mergeCell ref="T18:X20"/>
    <mergeCell ref="J16:N17"/>
    <mergeCell ref="O16:S17"/>
    <mergeCell ref="T16:X17"/>
    <mergeCell ref="Y16:AC17"/>
    <mergeCell ref="AG20:AU21"/>
    <mergeCell ref="AG22:AU23"/>
    <mergeCell ref="I13:I17"/>
    <mergeCell ref="J13:N15"/>
    <mergeCell ref="O13:S15"/>
    <mergeCell ref="T13:X15"/>
    <mergeCell ref="Y13:AC15"/>
    <mergeCell ref="Y18:AC20"/>
    <mergeCell ref="J21:N22"/>
    <mergeCell ref="O21:S22"/>
    <mergeCell ref="T21:X22"/>
    <mergeCell ref="Y21:AC22"/>
    <mergeCell ref="J11:N12"/>
    <mergeCell ref="O11:S12"/>
    <mergeCell ref="T11:X12"/>
    <mergeCell ref="Y11:AC12"/>
    <mergeCell ref="I8:I12"/>
    <mergeCell ref="J8:N10"/>
    <mergeCell ref="O8:S10"/>
    <mergeCell ref="T8:X10"/>
    <mergeCell ref="Y8:AC10"/>
    <mergeCell ref="AG5:AK6"/>
    <mergeCell ref="AL5:AP6"/>
    <mergeCell ref="AQ5:AU6"/>
    <mergeCell ref="J7:N7"/>
    <mergeCell ref="O7:S7"/>
    <mergeCell ref="T7:X7"/>
    <mergeCell ref="Y7:AC7"/>
    <mergeCell ref="J4:N4"/>
    <mergeCell ref="O4:S4"/>
    <mergeCell ref="T4:X4"/>
    <mergeCell ref="Y4:AC4"/>
    <mergeCell ref="I5:I7"/>
    <mergeCell ref="J5:N6"/>
    <mergeCell ref="O5:S6"/>
    <mergeCell ref="T5:X6"/>
    <mergeCell ref="Y5:AC6"/>
    <mergeCell ref="AG1:AK2"/>
    <mergeCell ref="AL1:AP2"/>
    <mergeCell ref="AQ1:AU2"/>
    <mergeCell ref="AG3:AK4"/>
    <mergeCell ref="AL3:AP4"/>
    <mergeCell ref="AQ3:AU4"/>
  </mergeCells>
  <phoneticPr fontId="1" type="noConversion"/>
  <pageMargins left="1.74" right="0.25" top="0.33" bottom="0.31" header="0.3" footer="0.3"/>
  <pageSetup paperSize="9" scale="78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37CA6-CC0E-4A4B-890F-718DBE293FA1}">
  <sheetPr>
    <pageSetUpPr fitToPage="1"/>
  </sheetPr>
  <dimension ref="A1:CI44"/>
  <sheetViews>
    <sheetView workbookViewId="0">
      <selection activeCell="AR27" sqref="AR27"/>
    </sheetView>
  </sheetViews>
  <sheetFormatPr defaultColWidth="2.7109375" defaultRowHeight="15" x14ac:dyDescent="0.25"/>
  <cols>
    <col min="1" max="7" width="2.7109375" style="1"/>
    <col min="8" max="8" width="2.7109375" style="1" customWidth="1"/>
    <col min="9" max="16384" width="2.7109375" style="1"/>
  </cols>
  <sheetData>
    <row r="1" spans="4:87" x14ac:dyDescent="0.25">
      <c r="I1" s="7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49">
        <f>SUM(I4:BP4)</f>
        <v>120</v>
      </c>
      <c r="AL1" s="49"/>
      <c r="AM1" s="49"/>
      <c r="AN1" s="49"/>
      <c r="AO1" s="12"/>
      <c r="AP1" s="12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9"/>
      <c r="BT1" s="83" t="s">
        <v>0</v>
      </c>
      <c r="BU1" s="83"/>
      <c r="BV1" s="83"/>
      <c r="BW1" s="83"/>
      <c r="BX1" s="83"/>
      <c r="BY1" s="83" t="s">
        <v>1</v>
      </c>
      <c r="BZ1" s="83"/>
      <c r="CA1" s="83"/>
      <c r="CB1" s="83"/>
      <c r="CC1" s="83"/>
      <c r="CD1" s="83" t="s">
        <v>2</v>
      </c>
      <c r="CE1" s="83"/>
      <c r="CF1" s="83"/>
      <c r="CG1" s="83"/>
      <c r="CH1" s="83"/>
    </row>
    <row r="2" spans="4:87" x14ac:dyDescent="0.25"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49"/>
      <c r="AL2" s="49"/>
      <c r="AM2" s="49"/>
      <c r="AN2" s="49"/>
      <c r="AO2" s="12"/>
      <c r="AP2" s="12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4"/>
      <c r="BR2" s="12"/>
      <c r="BS2" s="12"/>
      <c r="BT2" s="83"/>
      <c r="BU2" s="83"/>
      <c r="BV2" s="83"/>
      <c r="BW2" s="83"/>
      <c r="BX2" s="83"/>
      <c r="BY2" s="83"/>
      <c r="BZ2" s="83"/>
      <c r="CA2" s="83"/>
      <c r="CB2" s="83"/>
      <c r="CC2" s="83"/>
      <c r="CD2" s="83"/>
      <c r="CE2" s="83"/>
      <c r="CF2" s="83"/>
      <c r="CG2" s="83"/>
      <c r="CH2" s="83"/>
      <c r="CI2" s="12"/>
    </row>
    <row r="3" spans="4:87" x14ac:dyDescent="0.25">
      <c r="BR3" s="12"/>
      <c r="BS3" s="12"/>
      <c r="BT3" s="80" t="s">
        <v>50</v>
      </c>
      <c r="BU3" s="80"/>
      <c r="BV3" s="80"/>
      <c r="BW3" s="80"/>
      <c r="BX3" s="80"/>
      <c r="BY3" s="81">
        <f>SUM(I5+N5+S5+X5+AC5+AH5+AM5+AR5+AW5+BB5+BG5+BL5+BL10+BL15+BG15+BB15+AW15+AR15+AM15+AH15+AC15+X15+S15+N15+I15+I10)/26</f>
        <v>98.521153846153837</v>
      </c>
      <c r="BZ3" s="81"/>
      <c r="CA3" s="81"/>
      <c r="CB3" s="81"/>
      <c r="CC3" s="81"/>
      <c r="CD3" s="81">
        <f>100-BY3</f>
        <v>1.4788461538461632</v>
      </c>
      <c r="CE3" s="81"/>
      <c r="CF3" s="81"/>
      <c r="CG3" s="81"/>
      <c r="CH3" s="81"/>
      <c r="CI3" s="12"/>
    </row>
    <row r="4" spans="4:87" x14ac:dyDescent="0.25">
      <c r="I4" s="82">
        <v>10</v>
      </c>
      <c r="J4" s="82"/>
      <c r="K4" s="82"/>
      <c r="L4" s="82"/>
      <c r="M4" s="82"/>
      <c r="N4" s="82">
        <v>10</v>
      </c>
      <c r="O4" s="82"/>
      <c r="P4" s="82"/>
      <c r="Q4" s="82"/>
      <c r="R4" s="82"/>
      <c r="S4" s="82">
        <v>10</v>
      </c>
      <c r="T4" s="82"/>
      <c r="U4" s="82"/>
      <c r="V4" s="82"/>
      <c r="W4" s="82"/>
      <c r="X4" s="82">
        <v>10</v>
      </c>
      <c r="Y4" s="82"/>
      <c r="Z4" s="82"/>
      <c r="AA4" s="82"/>
      <c r="AB4" s="82"/>
      <c r="AC4" s="82">
        <v>10</v>
      </c>
      <c r="AD4" s="82"/>
      <c r="AE4" s="82"/>
      <c r="AF4" s="82"/>
      <c r="AG4" s="82"/>
      <c r="AH4" s="82">
        <v>10</v>
      </c>
      <c r="AI4" s="82"/>
      <c r="AJ4" s="82"/>
      <c r="AK4" s="82"/>
      <c r="AL4" s="82"/>
      <c r="AM4" s="82">
        <v>10</v>
      </c>
      <c r="AN4" s="82"/>
      <c r="AO4" s="82"/>
      <c r="AP4" s="82"/>
      <c r="AQ4" s="82"/>
      <c r="AR4" s="82">
        <v>10</v>
      </c>
      <c r="AS4" s="82"/>
      <c r="AT4" s="82"/>
      <c r="AU4" s="82"/>
      <c r="AV4" s="82"/>
      <c r="AW4" s="82">
        <v>10</v>
      </c>
      <c r="AX4" s="82"/>
      <c r="AY4" s="82"/>
      <c r="AZ4" s="82"/>
      <c r="BA4" s="82"/>
      <c r="BB4" s="82">
        <v>10</v>
      </c>
      <c r="BC4" s="82"/>
      <c r="BD4" s="82"/>
      <c r="BE4" s="82"/>
      <c r="BF4" s="82"/>
      <c r="BG4" s="82">
        <v>10</v>
      </c>
      <c r="BH4" s="82"/>
      <c r="BI4" s="82"/>
      <c r="BJ4" s="82"/>
      <c r="BK4" s="82"/>
      <c r="BL4" s="82">
        <v>10</v>
      </c>
      <c r="BM4" s="82"/>
      <c r="BN4" s="82"/>
      <c r="BO4" s="82"/>
      <c r="BP4" s="82"/>
      <c r="BR4" s="12"/>
      <c r="BS4" s="12"/>
      <c r="BT4" s="80"/>
      <c r="BU4" s="80"/>
      <c r="BV4" s="80"/>
      <c r="BW4" s="80"/>
      <c r="BX4" s="80"/>
      <c r="BY4" s="81"/>
      <c r="BZ4" s="81"/>
      <c r="CA4" s="81"/>
      <c r="CB4" s="81"/>
      <c r="CC4" s="81"/>
      <c r="CD4" s="81"/>
      <c r="CE4" s="81"/>
      <c r="CF4" s="81"/>
      <c r="CG4" s="81"/>
      <c r="CH4" s="81"/>
      <c r="CI4" s="12"/>
    </row>
    <row r="5" spans="4:87" x14ac:dyDescent="0.25">
      <c r="E5" s="4"/>
      <c r="F5" s="2"/>
      <c r="H5" s="59">
        <v>10</v>
      </c>
      <c r="I5" s="60">
        <f>100-1.45</f>
        <v>98.55</v>
      </c>
      <c r="J5" s="61"/>
      <c r="K5" s="61"/>
      <c r="L5" s="61"/>
      <c r="M5" s="62"/>
      <c r="N5" s="60">
        <f>100-1.52</f>
        <v>98.48</v>
      </c>
      <c r="O5" s="61"/>
      <c r="P5" s="61"/>
      <c r="Q5" s="61"/>
      <c r="R5" s="62"/>
      <c r="S5" s="60">
        <f>100-1.5</f>
        <v>98.5</v>
      </c>
      <c r="T5" s="61"/>
      <c r="U5" s="61"/>
      <c r="V5" s="61"/>
      <c r="W5" s="62"/>
      <c r="X5" s="60">
        <f>100-1.5</f>
        <v>98.5</v>
      </c>
      <c r="Y5" s="61"/>
      <c r="Z5" s="61"/>
      <c r="AA5" s="61"/>
      <c r="AB5" s="62"/>
      <c r="AC5" s="60">
        <f>100-1.42</f>
        <v>98.58</v>
      </c>
      <c r="AD5" s="61"/>
      <c r="AE5" s="61"/>
      <c r="AF5" s="61"/>
      <c r="AG5" s="62"/>
      <c r="AH5" s="60">
        <f>100-1.46</f>
        <v>98.54</v>
      </c>
      <c r="AI5" s="61"/>
      <c r="AJ5" s="61"/>
      <c r="AK5" s="61"/>
      <c r="AL5" s="62"/>
      <c r="AM5" s="60">
        <f>100-1.42</f>
        <v>98.58</v>
      </c>
      <c r="AN5" s="61"/>
      <c r="AO5" s="61"/>
      <c r="AP5" s="61"/>
      <c r="AQ5" s="62"/>
      <c r="AR5" s="60">
        <f>100-1.45</f>
        <v>98.55</v>
      </c>
      <c r="AS5" s="61"/>
      <c r="AT5" s="61"/>
      <c r="AU5" s="61"/>
      <c r="AV5" s="62"/>
      <c r="AW5" s="60">
        <f>100-1.45</f>
        <v>98.55</v>
      </c>
      <c r="AX5" s="61"/>
      <c r="AY5" s="61"/>
      <c r="AZ5" s="61"/>
      <c r="BA5" s="62"/>
      <c r="BB5" s="60">
        <f>100-1.42</f>
        <v>98.58</v>
      </c>
      <c r="BC5" s="61"/>
      <c r="BD5" s="61"/>
      <c r="BE5" s="61"/>
      <c r="BF5" s="62"/>
      <c r="BG5" s="60">
        <f>100-1.45</f>
        <v>98.55</v>
      </c>
      <c r="BH5" s="61"/>
      <c r="BI5" s="61"/>
      <c r="BJ5" s="61"/>
      <c r="BK5" s="62"/>
      <c r="BL5" s="60">
        <f>100-1.47</f>
        <v>98.53</v>
      </c>
      <c r="BM5" s="61"/>
      <c r="BN5" s="61"/>
      <c r="BO5" s="61"/>
      <c r="BP5" s="62"/>
      <c r="BR5" s="12"/>
      <c r="BS5" s="12"/>
      <c r="BT5" s="80" t="s">
        <v>51</v>
      </c>
      <c r="BU5" s="80"/>
      <c r="BV5" s="80"/>
      <c r="BW5" s="80"/>
      <c r="BX5" s="80"/>
      <c r="BY5" s="81">
        <f>SUM(N10+S10+X10+AC10+AH10+AM10+AR10+AW10+BB10+BG10)/10</f>
        <v>98.374800000000008</v>
      </c>
      <c r="BZ5" s="81"/>
      <c r="CA5" s="81"/>
      <c r="CB5" s="81"/>
      <c r="CC5" s="81"/>
      <c r="CD5" s="81">
        <f t="shared" ref="CD5" si="0">100-BY5</f>
        <v>1.6251999999999924</v>
      </c>
      <c r="CE5" s="81"/>
      <c r="CF5" s="81"/>
      <c r="CG5" s="81"/>
      <c r="CH5" s="81"/>
      <c r="CI5" s="12"/>
    </row>
    <row r="6" spans="4:87" x14ac:dyDescent="0.25">
      <c r="E6" s="6"/>
      <c r="F6" s="5"/>
      <c r="H6" s="59"/>
      <c r="I6" s="63"/>
      <c r="J6" s="49"/>
      <c r="K6" s="49"/>
      <c r="L6" s="49"/>
      <c r="M6" s="64"/>
      <c r="N6" s="63"/>
      <c r="O6" s="49"/>
      <c r="P6" s="49"/>
      <c r="Q6" s="49"/>
      <c r="R6" s="64"/>
      <c r="S6" s="63"/>
      <c r="T6" s="49"/>
      <c r="U6" s="49"/>
      <c r="V6" s="49"/>
      <c r="W6" s="64"/>
      <c r="X6" s="63"/>
      <c r="Y6" s="49"/>
      <c r="Z6" s="49"/>
      <c r="AA6" s="49"/>
      <c r="AB6" s="64"/>
      <c r="AC6" s="63"/>
      <c r="AD6" s="49"/>
      <c r="AE6" s="49"/>
      <c r="AF6" s="49"/>
      <c r="AG6" s="64"/>
      <c r="AH6" s="63"/>
      <c r="AI6" s="49"/>
      <c r="AJ6" s="49"/>
      <c r="AK6" s="49"/>
      <c r="AL6" s="64"/>
      <c r="AM6" s="63"/>
      <c r="AN6" s="49"/>
      <c r="AO6" s="49"/>
      <c r="AP6" s="49"/>
      <c r="AQ6" s="64"/>
      <c r="AR6" s="63"/>
      <c r="AS6" s="49"/>
      <c r="AT6" s="49"/>
      <c r="AU6" s="49"/>
      <c r="AV6" s="64"/>
      <c r="AW6" s="63"/>
      <c r="AX6" s="49"/>
      <c r="AY6" s="49"/>
      <c r="AZ6" s="49"/>
      <c r="BA6" s="64"/>
      <c r="BB6" s="63"/>
      <c r="BC6" s="49"/>
      <c r="BD6" s="49"/>
      <c r="BE6" s="49"/>
      <c r="BF6" s="64"/>
      <c r="BG6" s="63"/>
      <c r="BH6" s="49"/>
      <c r="BI6" s="49"/>
      <c r="BJ6" s="49"/>
      <c r="BK6" s="64"/>
      <c r="BL6" s="63"/>
      <c r="BM6" s="49"/>
      <c r="BN6" s="49"/>
      <c r="BO6" s="49"/>
      <c r="BP6" s="64"/>
      <c r="BR6" s="12"/>
      <c r="BS6" s="12"/>
      <c r="BT6" s="80"/>
      <c r="BU6" s="80"/>
      <c r="BV6" s="80"/>
      <c r="BW6" s="80"/>
      <c r="BX6" s="80"/>
      <c r="BY6" s="81"/>
      <c r="BZ6" s="81"/>
      <c r="CA6" s="81"/>
      <c r="CB6" s="81"/>
      <c r="CC6" s="81"/>
      <c r="CD6" s="81"/>
      <c r="CE6" s="81"/>
      <c r="CF6" s="81"/>
      <c r="CG6" s="81"/>
      <c r="CH6" s="81"/>
      <c r="CI6" s="12"/>
    </row>
    <row r="7" spans="4:87" x14ac:dyDescent="0.25">
      <c r="E7" s="6"/>
      <c r="F7" s="5"/>
      <c r="H7" s="59"/>
      <c r="I7" s="63"/>
      <c r="J7" s="49"/>
      <c r="K7" s="49"/>
      <c r="L7" s="49"/>
      <c r="M7" s="64"/>
      <c r="N7" s="63"/>
      <c r="O7" s="49"/>
      <c r="P7" s="49"/>
      <c r="Q7" s="49"/>
      <c r="R7" s="64"/>
      <c r="S7" s="63"/>
      <c r="T7" s="49"/>
      <c r="U7" s="49"/>
      <c r="V7" s="49"/>
      <c r="W7" s="64"/>
      <c r="X7" s="63"/>
      <c r="Y7" s="49"/>
      <c r="Z7" s="49"/>
      <c r="AA7" s="49"/>
      <c r="AB7" s="64"/>
      <c r="AC7" s="63"/>
      <c r="AD7" s="49"/>
      <c r="AE7" s="49"/>
      <c r="AF7" s="49"/>
      <c r="AG7" s="64"/>
      <c r="AH7" s="63"/>
      <c r="AI7" s="49"/>
      <c r="AJ7" s="49"/>
      <c r="AK7" s="49"/>
      <c r="AL7" s="64"/>
      <c r="AM7" s="63"/>
      <c r="AN7" s="49"/>
      <c r="AO7" s="49"/>
      <c r="AP7" s="49"/>
      <c r="AQ7" s="64"/>
      <c r="AR7" s="63"/>
      <c r="AS7" s="49"/>
      <c r="AT7" s="49"/>
      <c r="AU7" s="49"/>
      <c r="AV7" s="64"/>
      <c r="AW7" s="63"/>
      <c r="AX7" s="49"/>
      <c r="AY7" s="49"/>
      <c r="AZ7" s="49"/>
      <c r="BA7" s="64"/>
      <c r="BB7" s="63"/>
      <c r="BC7" s="49"/>
      <c r="BD7" s="49"/>
      <c r="BE7" s="49"/>
      <c r="BF7" s="64"/>
      <c r="BG7" s="63"/>
      <c r="BH7" s="49"/>
      <c r="BI7" s="49"/>
      <c r="BJ7" s="49"/>
      <c r="BK7" s="64"/>
      <c r="BL7" s="63"/>
      <c r="BM7" s="49"/>
      <c r="BN7" s="49"/>
      <c r="BO7" s="49"/>
      <c r="BP7" s="64"/>
      <c r="BR7" s="12"/>
      <c r="BS7" s="12"/>
      <c r="BT7" s="37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9"/>
      <c r="CI7" s="12"/>
    </row>
    <row r="8" spans="4:87" ht="15" customHeight="1" x14ac:dyDescent="0.25">
      <c r="E8" s="6"/>
      <c r="F8" s="5"/>
      <c r="H8" s="59"/>
      <c r="I8" s="65">
        <v>1</v>
      </c>
      <c r="J8" s="66"/>
      <c r="K8" s="66"/>
      <c r="L8" s="66"/>
      <c r="M8" s="67"/>
      <c r="N8" s="65">
        <v>2</v>
      </c>
      <c r="O8" s="66"/>
      <c r="P8" s="66"/>
      <c r="Q8" s="66"/>
      <c r="R8" s="67"/>
      <c r="S8" s="65">
        <v>3</v>
      </c>
      <c r="T8" s="66"/>
      <c r="U8" s="66"/>
      <c r="V8" s="66"/>
      <c r="W8" s="67"/>
      <c r="X8" s="65">
        <v>4</v>
      </c>
      <c r="Y8" s="66"/>
      <c r="Z8" s="66"/>
      <c r="AA8" s="66"/>
      <c r="AB8" s="67"/>
      <c r="AC8" s="65">
        <v>5</v>
      </c>
      <c r="AD8" s="66"/>
      <c r="AE8" s="66"/>
      <c r="AF8" s="66"/>
      <c r="AG8" s="67"/>
      <c r="AH8" s="65">
        <v>6</v>
      </c>
      <c r="AI8" s="66"/>
      <c r="AJ8" s="66"/>
      <c r="AK8" s="66"/>
      <c r="AL8" s="67"/>
      <c r="AM8" s="65">
        <v>7</v>
      </c>
      <c r="AN8" s="66"/>
      <c r="AO8" s="66"/>
      <c r="AP8" s="66"/>
      <c r="AQ8" s="67"/>
      <c r="AR8" s="65">
        <v>8</v>
      </c>
      <c r="AS8" s="66"/>
      <c r="AT8" s="66"/>
      <c r="AU8" s="66"/>
      <c r="AV8" s="67"/>
      <c r="AW8" s="65">
        <v>9</v>
      </c>
      <c r="AX8" s="66"/>
      <c r="AY8" s="66"/>
      <c r="AZ8" s="66"/>
      <c r="BA8" s="67"/>
      <c r="BB8" s="65">
        <v>10</v>
      </c>
      <c r="BC8" s="66"/>
      <c r="BD8" s="66"/>
      <c r="BE8" s="66"/>
      <c r="BF8" s="67"/>
      <c r="BG8" s="65">
        <v>11</v>
      </c>
      <c r="BH8" s="66"/>
      <c r="BI8" s="66"/>
      <c r="BJ8" s="66"/>
      <c r="BK8" s="67"/>
      <c r="BL8" s="65">
        <v>12</v>
      </c>
      <c r="BM8" s="66"/>
      <c r="BN8" s="66"/>
      <c r="BO8" s="66"/>
      <c r="BP8" s="67"/>
      <c r="BR8" s="12"/>
      <c r="BS8" s="12"/>
      <c r="BT8" s="71" t="s">
        <v>55</v>
      </c>
      <c r="BU8" s="72"/>
      <c r="BV8" s="72"/>
      <c r="BW8" s="72"/>
      <c r="BX8" s="72"/>
      <c r="BY8" s="72"/>
      <c r="BZ8" s="72"/>
      <c r="CA8" s="72"/>
      <c r="CB8" s="72"/>
      <c r="CC8" s="72"/>
      <c r="CD8" s="72"/>
      <c r="CE8" s="72"/>
      <c r="CF8" s="72"/>
      <c r="CG8" s="72"/>
      <c r="CH8" s="73"/>
      <c r="CI8" s="12"/>
    </row>
    <row r="9" spans="4:87" x14ac:dyDescent="0.25">
      <c r="E9" s="6"/>
      <c r="F9" s="5"/>
      <c r="H9" s="59"/>
      <c r="I9" s="68"/>
      <c r="J9" s="69"/>
      <c r="K9" s="69"/>
      <c r="L9" s="69"/>
      <c r="M9" s="70"/>
      <c r="N9" s="68"/>
      <c r="O9" s="69"/>
      <c r="P9" s="69"/>
      <c r="Q9" s="69"/>
      <c r="R9" s="70"/>
      <c r="S9" s="68"/>
      <c r="T9" s="69"/>
      <c r="U9" s="69"/>
      <c r="V9" s="69"/>
      <c r="W9" s="70"/>
      <c r="X9" s="68"/>
      <c r="Y9" s="69"/>
      <c r="Z9" s="69"/>
      <c r="AA9" s="69"/>
      <c r="AB9" s="70"/>
      <c r="AC9" s="68"/>
      <c r="AD9" s="69"/>
      <c r="AE9" s="69"/>
      <c r="AF9" s="69"/>
      <c r="AG9" s="70"/>
      <c r="AH9" s="68"/>
      <c r="AI9" s="69"/>
      <c r="AJ9" s="69"/>
      <c r="AK9" s="69"/>
      <c r="AL9" s="70"/>
      <c r="AM9" s="68"/>
      <c r="AN9" s="69"/>
      <c r="AO9" s="69"/>
      <c r="AP9" s="69"/>
      <c r="AQ9" s="70"/>
      <c r="AR9" s="68"/>
      <c r="AS9" s="69"/>
      <c r="AT9" s="69"/>
      <c r="AU9" s="69"/>
      <c r="AV9" s="70"/>
      <c r="AW9" s="68"/>
      <c r="AX9" s="69"/>
      <c r="AY9" s="69"/>
      <c r="AZ9" s="69"/>
      <c r="BA9" s="70"/>
      <c r="BB9" s="68"/>
      <c r="BC9" s="69"/>
      <c r="BD9" s="69"/>
      <c r="BE9" s="69"/>
      <c r="BF9" s="70"/>
      <c r="BG9" s="68"/>
      <c r="BH9" s="69"/>
      <c r="BI9" s="69"/>
      <c r="BJ9" s="69"/>
      <c r="BK9" s="70"/>
      <c r="BL9" s="68"/>
      <c r="BM9" s="69"/>
      <c r="BN9" s="69"/>
      <c r="BO9" s="69"/>
      <c r="BP9" s="70"/>
      <c r="BR9" s="12"/>
      <c r="BS9" s="12"/>
      <c r="BT9" s="74"/>
      <c r="BU9" s="75"/>
      <c r="BV9" s="75"/>
      <c r="BW9" s="75"/>
      <c r="BX9" s="75"/>
      <c r="BY9" s="75"/>
      <c r="BZ9" s="75"/>
      <c r="CA9" s="75"/>
      <c r="CB9" s="75"/>
      <c r="CC9" s="75"/>
      <c r="CD9" s="75"/>
      <c r="CE9" s="75"/>
      <c r="CF9" s="75"/>
      <c r="CG9" s="75"/>
      <c r="CH9" s="76"/>
      <c r="CI9" s="12"/>
    </row>
    <row r="10" spans="4:87" x14ac:dyDescent="0.25">
      <c r="E10" s="6"/>
      <c r="F10" s="5"/>
      <c r="H10" s="59">
        <v>10</v>
      </c>
      <c r="I10" s="60">
        <f>100-1.52</f>
        <v>98.48</v>
      </c>
      <c r="J10" s="61"/>
      <c r="K10" s="61"/>
      <c r="L10" s="61"/>
      <c r="M10" s="62"/>
      <c r="N10" s="60">
        <f>SUM(N5+I5+I10+I15+N15)/5-0.15</f>
        <v>98.346000000000004</v>
      </c>
      <c r="O10" s="61"/>
      <c r="P10" s="61"/>
      <c r="Q10" s="61"/>
      <c r="R10" s="62"/>
      <c r="S10" s="60">
        <f>SUM(S5+S15)/2-0.15</f>
        <v>98.384999999999991</v>
      </c>
      <c r="T10" s="61"/>
      <c r="U10" s="61"/>
      <c r="V10" s="61"/>
      <c r="W10" s="62"/>
      <c r="X10" s="60">
        <f t="shared" ref="X10" si="1">SUM(X5+X15)/2-0.15</f>
        <v>98.359999999999985</v>
      </c>
      <c r="Y10" s="61"/>
      <c r="Z10" s="61"/>
      <c r="AA10" s="61"/>
      <c r="AB10" s="62"/>
      <c r="AC10" s="60">
        <f t="shared" ref="AC10" si="2">SUM(AC5+AC15)/2-0.15</f>
        <v>98.364999999999995</v>
      </c>
      <c r="AD10" s="61"/>
      <c r="AE10" s="61"/>
      <c r="AF10" s="61"/>
      <c r="AG10" s="62"/>
      <c r="AH10" s="60">
        <f t="shared" ref="AH10" si="3">SUM(AH5+AH15)/2-0.15</f>
        <v>98.37</v>
      </c>
      <c r="AI10" s="61"/>
      <c r="AJ10" s="61"/>
      <c r="AK10" s="61"/>
      <c r="AL10" s="62"/>
      <c r="AM10" s="60">
        <f t="shared" ref="AM10" si="4">SUM(AM5+AM15)/2-0.15</f>
        <v>98.44</v>
      </c>
      <c r="AN10" s="61"/>
      <c r="AO10" s="61"/>
      <c r="AP10" s="61"/>
      <c r="AQ10" s="62"/>
      <c r="AR10" s="60">
        <f t="shared" ref="AR10" si="5">SUM(AR5+AR15)/2-0.15</f>
        <v>98.399999999999991</v>
      </c>
      <c r="AS10" s="61"/>
      <c r="AT10" s="61"/>
      <c r="AU10" s="61"/>
      <c r="AV10" s="62"/>
      <c r="AW10" s="60">
        <f t="shared" ref="AW10" si="6">SUM(AW5+AW15)/2-0.15</f>
        <v>98.35</v>
      </c>
      <c r="AX10" s="61"/>
      <c r="AY10" s="61"/>
      <c r="AZ10" s="61"/>
      <c r="BA10" s="62"/>
      <c r="BB10" s="60">
        <f t="shared" ref="BB10" si="7">SUM(BB5+BB15)/2-0.15</f>
        <v>98.359999999999985</v>
      </c>
      <c r="BC10" s="61"/>
      <c r="BD10" s="61"/>
      <c r="BE10" s="61"/>
      <c r="BF10" s="62"/>
      <c r="BG10" s="60">
        <f>SUM(BG5+BL5+BL10+BL15+BG15)/5-0.15</f>
        <v>98.372</v>
      </c>
      <c r="BH10" s="61"/>
      <c r="BI10" s="61"/>
      <c r="BJ10" s="61"/>
      <c r="BK10" s="62"/>
      <c r="BL10" s="60">
        <f>100-1.55</f>
        <v>98.45</v>
      </c>
      <c r="BM10" s="61"/>
      <c r="BN10" s="61"/>
      <c r="BO10" s="61"/>
      <c r="BP10" s="62"/>
      <c r="BR10" s="12"/>
      <c r="BS10" s="12"/>
      <c r="BT10" s="74"/>
      <c r="BU10" s="75"/>
      <c r="BV10" s="75"/>
      <c r="BW10" s="75"/>
      <c r="BX10" s="75"/>
      <c r="BY10" s="75"/>
      <c r="BZ10" s="75"/>
      <c r="CA10" s="75"/>
      <c r="CB10" s="75"/>
      <c r="CC10" s="75"/>
      <c r="CD10" s="75"/>
      <c r="CE10" s="75"/>
      <c r="CF10" s="75"/>
      <c r="CG10" s="75"/>
      <c r="CH10" s="76"/>
      <c r="CI10" s="12"/>
    </row>
    <row r="11" spans="4:87" x14ac:dyDescent="0.25">
      <c r="E11" s="6"/>
      <c r="F11" s="5"/>
      <c r="H11" s="59"/>
      <c r="I11" s="63"/>
      <c r="J11" s="49"/>
      <c r="K11" s="49"/>
      <c r="L11" s="49"/>
      <c r="M11" s="64"/>
      <c r="N11" s="63"/>
      <c r="O11" s="49"/>
      <c r="P11" s="49"/>
      <c r="Q11" s="49"/>
      <c r="R11" s="64"/>
      <c r="S11" s="63"/>
      <c r="T11" s="49"/>
      <c r="U11" s="49"/>
      <c r="V11" s="49"/>
      <c r="W11" s="64"/>
      <c r="X11" s="63"/>
      <c r="Y11" s="49"/>
      <c r="Z11" s="49"/>
      <c r="AA11" s="49"/>
      <c r="AB11" s="64"/>
      <c r="AC11" s="63"/>
      <c r="AD11" s="49"/>
      <c r="AE11" s="49"/>
      <c r="AF11" s="49"/>
      <c r="AG11" s="64"/>
      <c r="AH11" s="63"/>
      <c r="AI11" s="49"/>
      <c r="AJ11" s="49"/>
      <c r="AK11" s="49"/>
      <c r="AL11" s="64"/>
      <c r="AM11" s="63"/>
      <c r="AN11" s="49"/>
      <c r="AO11" s="49"/>
      <c r="AP11" s="49"/>
      <c r="AQ11" s="64"/>
      <c r="AR11" s="63"/>
      <c r="AS11" s="49"/>
      <c r="AT11" s="49"/>
      <c r="AU11" s="49"/>
      <c r="AV11" s="64"/>
      <c r="AW11" s="63"/>
      <c r="AX11" s="49"/>
      <c r="AY11" s="49"/>
      <c r="AZ11" s="49"/>
      <c r="BA11" s="64"/>
      <c r="BB11" s="63"/>
      <c r="BC11" s="49"/>
      <c r="BD11" s="49"/>
      <c r="BE11" s="49"/>
      <c r="BF11" s="64"/>
      <c r="BG11" s="63"/>
      <c r="BH11" s="49"/>
      <c r="BI11" s="49"/>
      <c r="BJ11" s="49"/>
      <c r="BK11" s="64"/>
      <c r="BL11" s="63"/>
      <c r="BM11" s="49"/>
      <c r="BN11" s="49"/>
      <c r="BO11" s="49"/>
      <c r="BP11" s="64"/>
      <c r="BR11" s="12"/>
      <c r="BS11" s="12"/>
      <c r="BT11" s="74"/>
      <c r="BU11" s="75"/>
      <c r="BV11" s="75"/>
      <c r="BW11" s="75"/>
      <c r="BX11" s="75"/>
      <c r="BY11" s="75"/>
      <c r="BZ11" s="75"/>
      <c r="CA11" s="75"/>
      <c r="CB11" s="75"/>
      <c r="CC11" s="75"/>
      <c r="CD11" s="75"/>
      <c r="CE11" s="75"/>
      <c r="CF11" s="75"/>
      <c r="CG11" s="75"/>
      <c r="CH11" s="76"/>
      <c r="CI11" s="12"/>
    </row>
    <row r="12" spans="4:87" x14ac:dyDescent="0.25">
      <c r="D12" s="49">
        <f>SUM(H3:H19)</f>
        <v>30</v>
      </c>
      <c r="E12" s="66"/>
      <c r="F12" s="66"/>
      <c r="G12" s="66"/>
      <c r="H12" s="59"/>
      <c r="I12" s="63"/>
      <c r="J12" s="49"/>
      <c r="K12" s="49"/>
      <c r="L12" s="49"/>
      <c r="M12" s="64"/>
      <c r="N12" s="63"/>
      <c r="O12" s="49"/>
      <c r="P12" s="49"/>
      <c r="Q12" s="49"/>
      <c r="R12" s="64"/>
      <c r="S12" s="63"/>
      <c r="T12" s="49"/>
      <c r="U12" s="49"/>
      <c r="V12" s="49"/>
      <c r="W12" s="64"/>
      <c r="X12" s="63"/>
      <c r="Y12" s="49"/>
      <c r="Z12" s="49"/>
      <c r="AA12" s="49"/>
      <c r="AB12" s="64"/>
      <c r="AC12" s="63"/>
      <c r="AD12" s="49"/>
      <c r="AE12" s="49"/>
      <c r="AF12" s="49"/>
      <c r="AG12" s="64"/>
      <c r="AH12" s="63"/>
      <c r="AI12" s="49"/>
      <c r="AJ12" s="49"/>
      <c r="AK12" s="49"/>
      <c r="AL12" s="64"/>
      <c r="AM12" s="63"/>
      <c r="AN12" s="49"/>
      <c r="AO12" s="49"/>
      <c r="AP12" s="49"/>
      <c r="AQ12" s="64"/>
      <c r="AR12" s="63"/>
      <c r="AS12" s="49"/>
      <c r="AT12" s="49"/>
      <c r="AU12" s="49"/>
      <c r="AV12" s="64"/>
      <c r="AW12" s="63"/>
      <c r="AX12" s="49"/>
      <c r="AY12" s="49"/>
      <c r="AZ12" s="49"/>
      <c r="BA12" s="64"/>
      <c r="BB12" s="63"/>
      <c r="BC12" s="49"/>
      <c r="BD12" s="49"/>
      <c r="BE12" s="49"/>
      <c r="BF12" s="64"/>
      <c r="BG12" s="63"/>
      <c r="BH12" s="49"/>
      <c r="BI12" s="49"/>
      <c r="BJ12" s="49"/>
      <c r="BK12" s="64"/>
      <c r="BL12" s="63"/>
      <c r="BM12" s="49"/>
      <c r="BN12" s="49"/>
      <c r="BO12" s="49"/>
      <c r="BP12" s="64"/>
      <c r="BR12" s="12"/>
      <c r="BS12" s="12"/>
      <c r="BT12" s="50" t="s">
        <v>56</v>
      </c>
      <c r="BU12" s="51"/>
      <c r="BV12" s="51"/>
      <c r="BW12" s="51"/>
      <c r="BX12" s="51"/>
      <c r="BY12" s="51"/>
      <c r="BZ12" s="51"/>
      <c r="CA12" s="51"/>
      <c r="CB12" s="51"/>
      <c r="CC12" s="51"/>
      <c r="CD12" s="51"/>
      <c r="CE12" s="51"/>
      <c r="CF12" s="51"/>
      <c r="CG12" s="51"/>
      <c r="CH12" s="52"/>
      <c r="CI12" s="12"/>
    </row>
    <row r="13" spans="4:87" x14ac:dyDescent="0.25">
      <c r="E13" s="6"/>
      <c r="F13" s="5"/>
      <c r="H13" s="59"/>
      <c r="I13" s="65">
        <v>26</v>
      </c>
      <c r="J13" s="66"/>
      <c r="K13" s="66"/>
      <c r="L13" s="66"/>
      <c r="M13" s="67"/>
      <c r="N13" s="65">
        <v>27</v>
      </c>
      <c r="O13" s="66"/>
      <c r="P13" s="66"/>
      <c r="Q13" s="66"/>
      <c r="R13" s="67"/>
      <c r="S13" s="65">
        <v>28</v>
      </c>
      <c r="T13" s="66"/>
      <c r="U13" s="66"/>
      <c r="V13" s="66"/>
      <c r="W13" s="67"/>
      <c r="X13" s="65">
        <v>29</v>
      </c>
      <c r="Y13" s="66"/>
      <c r="Z13" s="66"/>
      <c r="AA13" s="66"/>
      <c r="AB13" s="67"/>
      <c r="AC13" s="65">
        <v>30</v>
      </c>
      <c r="AD13" s="66"/>
      <c r="AE13" s="66"/>
      <c r="AF13" s="66"/>
      <c r="AG13" s="67"/>
      <c r="AH13" s="65">
        <v>31</v>
      </c>
      <c r="AI13" s="66"/>
      <c r="AJ13" s="66"/>
      <c r="AK13" s="66"/>
      <c r="AL13" s="67"/>
      <c r="AM13" s="65">
        <v>32</v>
      </c>
      <c r="AN13" s="66"/>
      <c r="AO13" s="66"/>
      <c r="AP13" s="66"/>
      <c r="AQ13" s="67"/>
      <c r="AR13" s="65">
        <v>33</v>
      </c>
      <c r="AS13" s="66"/>
      <c r="AT13" s="66"/>
      <c r="AU13" s="66"/>
      <c r="AV13" s="67"/>
      <c r="AW13" s="65">
        <v>34</v>
      </c>
      <c r="AX13" s="66"/>
      <c r="AY13" s="66"/>
      <c r="AZ13" s="66"/>
      <c r="BA13" s="67"/>
      <c r="BB13" s="65">
        <v>35</v>
      </c>
      <c r="BC13" s="66"/>
      <c r="BD13" s="66"/>
      <c r="BE13" s="66"/>
      <c r="BF13" s="67"/>
      <c r="BG13" s="65">
        <v>36</v>
      </c>
      <c r="BH13" s="66"/>
      <c r="BI13" s="66"/>
      <c r="BJ13" s="66"/>
      <c r="BK13" s="67"/>
      <c r="BL13" s="65">
        <v>13</v>
      </c>
      <c r="BM13" s="66"/>
      <c r="BN13" s="66"/>
      <c r="BO13" s="66"/>
      <c r="BP13" s="67"/>
      <c r="BR13" s="12"/>
      <c r="BS13" s="12"/>
      <c r="BT13" s="53"/>
      <c r="BU13" s="54"/>
      <c r="BV13" s="54"/>
      <c r="BW13" s="54"/>
      <c r="BX13" s="54"/>
      <c r="BY13" s="54"/>
      <c r="BZ13" s="54"/>
      <c r="CA13" s="54"/>
      <c r="CB13" s="54"/>
      <c r="CC13" s="54"/>
      <c r="CD13" s="54"/>
      <c r="CE13" s="54"/>
      <c r="CF13" s="54"/>
      <c r="CG13" s="54"/>
      <c r="CH13" s="55"/>
      <c r="CI13" s="12"/>
    </row>
    <row r="14" spans="4:87" x14ac:dyDescent="0.25">
      <c r="D14" s="10"/>
      <c r="E14" s="6"/>
      <c r="F14" s="5"/>
      <c r="G14" s="12"/>
      <c r="H14" s="59"/>
      <c r="I14" s="68"/>
      <c r="J14" s="69"/>
      <c r="K14" s="69"/>
      <c r="L14" s="69"/>
      <c r="M14" s="70"/>
      <c r="N14" s="68"/>
      <c r="O14" s="69"/>
      <c r="P14" s="69"/>
      <c r="Q14" s="69"/>
      <c r="R14" s="70"/>
      <c r="S14" s="68"/>
      <c r="T14" s="69"/>
      <c r="U14" s="69"/>
      <c r="V14" s="69"/>
      <c r="W14" s="70"/>
      <c r="X14" s="68"/>
      <c r="Y14" s="69"/>
      <c r="Z14" s="69"/>
      <c r="AA14" s="69"/>
      <c r="AB14" s="70"/>
      <c r="AC14" s="68"/>
      <c r="AD14" s="69"/>
      <c r="AE14" s="69"/>
      <c r="AF14" s="69"/>
      <c r="AG14" s="70"/>
      <c r="AH14" s="68"/>
      <c r="AI14" s="69"/>
      <c r="AJ14" s="69"/>
      <c r="AK14" s="69"/>
      <c r="AL14" s="70"/>
      <c r="AM14" s="68"/>
      <c r="AN14" s="69"/>
      <c r="AO14" s="69"/>
      <c r="AP14" s="69"/>
      <c r="AQ14" s="70"/>
      <c r="AR14" s="68"/>
      <c r="AS14" s="69"/>
      <c r="AT14" s="69"/>
      <c r="AU14" s="69"/>
      <c r="AV14" s="70"/>
      <c r="AW14" s="68"/>
      <c r="AX14" s="69"/>
      <c r="AY14" s="69"/>
      <c r="AZ14" s="69"/>
      <c r="BA14" s="70"/>
      <c r="BB14" s="68"/>
      <c r="BC14" s="69"/>
      <c r="BD14" s="69"/>
      <c r="BE14" s="69"/>
      <c r="BF14" s="70"/>
      <c r="BG14" s="68"/>
      <c r="BH14" s="69"/>
      <c r="BI14" s="69"/>
      <c r="BJ14" s="69"/>
      <c r="BK14" s="70"/>
      <c r="BL14" s="68"/>
      <c r="BM14" s="69"/>
      <c r="BN14" s="69"/>
      <c r="BO14" s="69"/>
      <c r="BP14" s="70"/>
      <c r="BR14" s="12"/>
      <c r="BS14" s="12"/>
      <c r="BT14" s="50" t="s">
        <v>52</v>
      </c>
      <c r="BU14" s="51"/>
      <c r="BV14" s="51"/>
      <c r="BW14" s="51"/>
      <c r="BX14" s="51"/>
      <c r="BY14" s="51"/>
      <c r="BZ14" s="51"/>
      <c r="CA14" s="51"/>
      <c r="CB14" s="51"/>
      <c r="CC14" s="51"/>
      <c r="CD14" s="51"/>
      <c r="CE14" s="51"/>
      <c r="CF14" s="51"/>
      <c r="CG14" s="51"/>
      <c r="CH14" s="52"/>
      <c r="CI14" s="12"/>
    </row>
    <row r="15" spans="4:87" x14ac:dyDescent="0.25">
      <c r="D15" s="10"/>
      <c r="E15" s="6"/>
      <c r="F15" s="5"/>
      <c r="G15" s="12"/>
      <c r="H15" s="59">
        <v>10</v>
      </c>
      <c r="I15" s="60">
        <f>100-1.53</f>
        <v>98.47</v>
      </c>
      <c r="J15" s="61"/>
      <c r="K15" s="61"/>
      <c r="L15" s="61"/>
      <c r="M15" s="62"/>
      <c r="N15" s="60">
        <f>100-1.5</f>
        <v>98.5</v>
      </c>
      <c r="O15" s="61"/>
      <c r="P15" s="61"/>
      <c r="Q15" s="61"/>
      <c r="R15" s="62"/>
      <c r="S15" s="60">
        <f>100-1.43</f>
        <v>98.57</v>
      </c>
      <c r="T15" s="61"/>
      <c r="U15" s="61"/>
      <c r="V15" s="61"/>
      <c r="W15" s="62"/>
      <c r="X15" s="60">
        <f>100-1.48</f>
        <v>98.52</v>
      </c>
      <c r="Y15" s="61"/>
      <c r="Z15" s="61"/>
      <c r="AA15" s="61"/>
      <c r="AB15" s="62"/>
      <c r="AC15" s="60">
        <f>100-1.55</f>
        <v>98.45</v>
      </c>
      <c r="AD15" s="61"/>
      <c r="AE15" s="61"/>
      <c r="AF15" s="61"/>
      <c r="AG15" s="62"/>
      <c r="AH15" s="60">
        <f>100-1.5</f>
        <v>98.5</v>
      </c>
      <c r="AI15" s="61"/>
      <c r="AJ15" s="61"/>
      <c r="AK15" s="61"/>
      <c r="AL15" s="62"/>
      <c r="AM15" s="60">
        <f>100-1.4</f>
        <v>98.6</v>
      </c>
      <c r="AN15" s="61"/>
      <c r="AO15" s="61"/>
      <c r="AP15" s="61"/>
      <c r="AQ15" s="62"/>
      <c r="AR15" s="60">
        <f>100-1.45</f>
        <v>98.55</v>
      </c>
      <c r="AS15" s="61"/>
      <c r="AT15" s="61"/>
      <c r="AU15" s="61"/>
      <c r="AV15" s="62"/>
      <c r="AW15" s="60">
        <f>100-1.55</f>
        <v>98.45</v>
      </c>
      <c r="AX15" s="61"/>
      <c r="AY15" s="61"/>
      <c r="AZ15" s="61"/>
      <c r="BA15" s="62"/>
      <c r="BB15" s="60">
        <f>100-1.56</f>
        <v>98.44</v>
      </c>
      <c r="BC15" s="61"/>
      <c r="BD15" s="61"/>
      <c r="BE15" s="61"/>
      <c r="BF15" s="62"/>
      <c r="BG15" s="60">
        <f t="shared" ref="BG15" si="8">100-1.53</f>
        <v>98.47</v>
      </c>
      <c r="BH15" s="61"/>
      <c r="BI15" s="61"/>
      <c r="BJ15" s="61"/>
      <c r="BK15" s="62"/>
      <c r="BL15" s="60">
        <f>100-1.39</f>
        <v>98.61</v>
      </c>
      <c r="BM15" s="61"/>
      <c r="BN15" s="61"/>
      <c r="BO15" s="61"/>
      <c r="BP15" s="62"/>
      <c r="BR15" s="12"/>
      <c r="BS15" s="12"/>
      <c r="BT15" s="53"/>
      <c r="BU15" s="54"/>
      <c r="BV15" s="54"/>
      <c r="BW15" s="54"/>
      <c r="BX15" s="54"/>
      <c r="BY15" s="54"/>
      <c r="BZ15" s="54"/>
      <c r="CA15" s="54"/>
      <c r="CB15" s="54"/>
      <c r="CC15" s="54"/>
      <c r="CD15" s="54"/>
      <c r="CE15" s="54"/>
      <c r="CF15" s="54"/>
      <c r="CG15" s="54"/>
      <c r="CH15" s="55"/>
      <c r="CI15" s="12"/>
    </row>
    <row r="16" spans="4:87" x14ac:dyDescent="0.25">
      <c r="D16" s="10"/>
      <c r="E16" s="6"/>
      <c r="F16" s="5"/>
      <c r="G16" s="12"/>
      <c r="H16" s="59"/>
      <c r="I16" s="63"/>
      <c r="J16" s="49"/>
      <c r="K16" s="49"/>
      <c r="L16" s="49"/>
      <c r="M16" s="64"/>
      <c r="N16" s="63"/>
      <c r="O16" s="49"/>
      <c r="P16" s="49"/>
      <c r="Q16" s="49"/>
      <c r="R16" s="64"/>
      <c r="S16" s="63"/>
      <c r="T16" s="49"/>
      <c r="U16" s="49"/>
      <c r="V16" s="49"/>
      <c r="W16" s="64"/>
      <c r="X16" s="63"/>
      <c r="Y16" s="49"/>
      <c r="Z16" s="49"/>
      <c r="AA16" s="49"/>
      <c r="AB16" s="64"/>
      <c r="AC16" s="63"/>
      <c r="AD16" s="49"/>
      <c r="AE16" s="49"/>
      <c r="AF16" s="49"/>
      <c r="AG16" s="64"/>
      <c r="AH16" s="63"/>
      <c r="AI16" s="49"/>
      <c r="AJ16" s="49"/>
      <c r="AK16" s="49"/>
      <c r="AL16" s="64"/>
      <c r="AM16" s="63"/>
      <c r="AN16" s="49"/>
      <c r="AO16" s="49"/>
      <c r="AP16" s="49"/>
      <c r="AQ16" s="64"/>
      <c r="AR16" s="63"/>
      <c r="AS16" s="49"/>
      <c r="AT16" s="49"/>
      <c r="AU16" s="49"/>
      <c r="AV16" s="64"/>
      <c r="AW16" s="63"/>
      <c r="AX16" s="49"/>
      <c r="AY16" s="49"/>
      <c r="AZ16" s="49"/>
      <c r="BA16" s="64"/>
      <c r="BB16" s="63"/>
      <c r="BC16" s="49"/>
      <c r="BD16" s="49"/>
      <c r="BE16" s="49"/>
      <c r="BF16" s="64"/>
      <c r="BG16" s="63"/>
      <c r="BH16" s="49"/>
      <c r="BI16" s="49"/>
      <c r="BJ16" s="49"/>
      <c r="BK16" s="64"/>
      <c r="BL16" s="63"/>
      <c r="BM16" s="49"/>
      <c r="BN16" s="49"/>
      <c r="BO16" s="49"/>
      <c r="BP16" s="64"/>
      <c r="BR16" s="12"/>
      <c r="BS16" s="12"/>
      <c r="BT16" s="50" t="s">
        <v>53</v>
      </c>
      <c r="BU16" s="51"/>
      <c r="BV16" s="51"/>
      <c r="BW16" s="51"/>
      <c r="BX16" s="51"/>
      <c r="BY16" s="51"/>
      <c r="BZ16" s="51"/>
      <c r="CA16" s="51"/>
      <c r="CB16" s="51"/>
      <c r="CC16" s="51"/>
      <c r="CD16" s="51"/>
      <c r="CE16" s="51"/>
      <c r="CF16" s="51"/>
      <c r="CG16" s="51"/>
      <c r="CH16" s="52"/>
      <c r="CI16" s="12"/>
    </row>
    <row r="17" spans="1:87" x14ac:dyDescent="0.25">
      <c r="D17" s="10"/>
      <c r="E17" s="6"/>
      <c r="F17" s="5"/>
      <c r="G17" s="12"/>
      <c r="H17" s="59"/>
      <c r="I17" s="63"/>
      <c r="J17" s="49"/>
      <c r="K17" s="49"/>
      <c r="L17" s="49"/>
      <c r="M17" s="64"/>
      <c r="N17" s="63"/>
      <c r="O17" s="49"/>
      <c r="P17" s="49"/>
      <c r="Q17" s="49"/>
      <c r="R17" s="64"/>
      <c r="S17" s="63"/>
      <c r="T17" s="49"/>
      <c r="U17" s="49"/>
      <c r="V17" s="49"/>
      <c r="W17" s="64"/>
      <c r="X17" s="63"/>
      <c r="Y17" s="49"/>
      <c r="Z17" s="49"/>
      <c r="AA17" s="49"/>
      <c r="AB17" s="64"/>
      <c r="AC17" s="63"/>
      <c r="AD17" s="49"/>
      <c r="AE17" s="49"/>
      <c r="AF17" s="49"/>
      <c r="AG17" s="64"/>
      <c r="AH17" s="63"/>
      <c r="AI17" s="49"/>
      <c r="AJ17" s="49"/>
      <c r="AK17" s="49"/>
      <c r="AL17" s="64"/>
      <c r="AM17" s="63"/>
      <c r="AN17" s="49"/>
      <c r="AO17" s="49"/>
      <c r="AP17" s="49"/>
      <c r="AQ17" s="64"/>
      <c r="AR17" s="63"/>
      <c r="AS17" s="49"/>
      <c r="AT17" s="49"/>
      <c r="AU17" s="49"/>
      <c r="AV17" s="64"/>
      <c r="AW17" s="63"/>
      <c r="AX17" s="49"/>
      <c r="AY17" s="49"/>
      <c r="AZ17" s="49"/>
      <c r="BA17" s="64"/>
      <c r="BB17" s="63"/>
      <c r="BC17" s="49"/>
      <c r="BD17" s="49"/>
      <c r="BE17" s="49"/>
      <c r="BF17" s="64"/>
      <c r="BG17" s="63"/>
      <c r="BH17" s="49"/>
      <c r="BI17" s="49"/>
      <c r="BJ17" s="49"/>
      <c r="BK17" s="64"/>
      <c r="BL17" s="63"/>
      <c r="BM17" s="49"/>
      <c r="BN17" s="49"/>
      <c r="BO17" s="49"/>
      <c r="BP17" s="64"/>
      <c r="BR17" s="12"/>
      <c r="BS17" s="12"/>
      <c r="BT17" s="53"/>
      <c r="BU17" s="54"/>
      <c r="BV17" s="54"/>
      <c r="BW17" s="54"/>
      <c r="BX17" s="54"/>
      <c r="BY17" s="54"/>
      <c r="BZ17" s="54"/>
      <c r="CA17" s="54"/>
      <c r="CB17" s="54"/>
      <c r="CC17" s="54"/>
      <c r="CD17" s="54"/>
      <c r="CE17" s="54"/>
      <c r="CF17" s="54"/>
      <c r="CG17" s="54"/>
      <c r="CH17" s="55"/>
      <c r="CI17" s="12"/>
    </row>
    <row r="18" spans="1:87" x14ac:dyDescent="0.25">
      <c r="D18" s="10"/>
      <c r="E18" s="6"/>
      <c r="F18" s="5"/>
      <c r="G18" s="12"/>
      <c r="H18" s="59"/>
      <c r="I18" s="65">
        <v>25</v>
      </c>
      <c r="J18" s="66"/>
      <c r="K18" s="66"/>
      <c r="L18" s="66"/>
      <c r="M18" s="67"/>
      <c r="N18" s="65">
        <v>24</v>
      </c>
      <c r="O18" s="66"/>
      <c r="P18" s="66"/>
      <c r="Q18" s="66"/>
      <c r="R18" s="67"/>
      <c r="S18" s="65">
        <v>23</v>
      </c>
      <c r="T18" s="66"/>
      <c r="U18" s="66"/>
      <c r="V18" s="66"/>
      <c r="W18" s="67"/>
      <c r="X18" s="65">
        <v>22</v>
      </c>
      <c r="Y18" s="66"/>
      <c r="Z18" s="66"/>
      <c r="AA18" s="66"/>
      <c r="AB18" s="67"/>
      <c r="AC18" s="65">
        <v>21</v>
      </c>
      <c r="AD18" s="66"/>
      <c r="AE18" s="66"/>
      <c r="AF18" s="66"/>
      <c r="AG18" s="67"/>
      <c r="AH18" s="65">
        <v>20</v>
      </c>
      <c r="AI18" s="66"/>
      <c r="AJ18" s="66"/>
      <c r="AK18" s="66"/>
      <c r="AL18" s="67"/>
      <c r="AM18" s="65">
        <v>19</v>
      </c>
      <c r="AN18" s="66"/>
      <c r="AO18" s="66"/>
      <c r="AP18" s="66"/>
      <c r="AQ18" s="67"/>
      <c r="AR18" s="65">
        <v>18</v>
      </c>
      <c r="AS18" s="66"/>
      <c r="AT18" s="66"/>
      <c r="AU18" s="66"/>
      <c r="AV18" s="67"/>
      <c r="AW18" s="65">
        <v>17</v>
      </c>
      <c r="AX18" s="66"/>
      <c r="AY18" s="66"/>
      <c r="AZ18" s="66"/>
      <c r="BA18" s="67"/>
      <c r="BB18" s="65">
        <v>16</v>
      </c>
      <c r="BC18" s="66"/>
      <c r="BD18" s="66"/>
      <c r="BE18" s="66"/>
      <c r="BF18" s="67"/>
      <c r="BG18" s="65">
        <v>15</v>
      </c>
      <c r="BH18" s="66"/>
      <c r="BI18" s="66"/>
      <c r="BJ18" s="66"/>
      <c r="BK18" s="67"/>
      <c r="BL18" s="65">
        <v>14</v>
      </c>
      <c r="BM18" s="66"/>
      <c r="BN18" s="66"/>
      <c r="BO18" s="66"/>
      <c r="BP18" s="67"/>
      <c r="BR18" s="12"/>
      <c r="BS18" s="12"/>
      <c r="BT18" s="50" t="s">
        <v>54</v>
      </c>
      <c r="BU18" s="51"/>
      <c r="BV18" s="51"/>
      <c r="BW18" s="51"/>
      <c r="BX18" s="51"/>
      <c r="BY18" s="51"/>
      <c r="BZ18" s="51"/>
      <c r="CA18" s="51"/>
      <c r="CB18" s="51"/>
      <c r="CC18" s="51"/>
      <c r="CD18" s="51"/>
      <c r="CE18" s="51"/>
      <c r="CF18" s="51"/>
      <c r="CG18" s="51"/>
      <c r="CH18" s="52"/>
      <c r="CI18" s="12"/>
    </row>
    <row r="19" spans="1:87" x14ac:dyDescent="0.25">
      <c r="D19" s="10"/>
      <c r="E19" s="9"/>
      <c r="F19" s="7"/>
      <c r="G19" s="12"/>
      <c r="H19" s="59"/>
      <c r="I19" s="68"/>
      <c r="J19" s="69"/>
      <c r="K19" s="69"/>
      <c r="L19" s="69"/>
      <c r="M19" s="70"/>
      <c r="N19" s="68"/>
      <c r="O19" s="69"/>
      <c r="P19" s="69"/>
      <c r="Q19" s="69"/>
      <c r="R19" s="70"/>
      <c r="S19" s="68"/>
      <c r="T19" s="69"/>
      <c r="U19" s="69"/>
      <c r="V19" s="69"/>
      <c r="W19" s="70"/>
      <c r="X19" s="68"/>
      <c r="Y19" s="69"/>
      <c r="Z19" s="69"/>
      <c r="AA19" s="69"/>
      <c r="AB19" s="70"/>
      <c r="AC19" s="68"/>
      <c r="AD19" s="69"/>
      <c r="AE19" s="69"/>
      <c r="AF19" s="69"/>
      <c r="AG19" s="70"/>
      <c r="AH19" s="68"/>
      <c r="AI19" s="69"/>
      <c r="AJ19" s="69"/>
      <c r="AK19" s="69"/>
      <c r="AL19" s="70"/>
      <c r="AM19" s="68"/>
      <c r="AN19" s="69"/>
      <c r="AO19" s="69"/>
      <c r="AP19" s="69"/>
      <c r="AQ19" s="70"/>
      <c r="AR19" s="68"/>
      <c r="AS19" s="69"/>
      <c r="AT19" s="69"/>
      <c r="AU19" s="69"/>
      <c r="AV19" s="70"/>
      <c r="AW19" s="68"/>
      <c r="AX19" s="69"/>
      <c r="AY19" s="69"/>
      <c r="AZ19" s="69"/>
      <c r="BA19" s="70"/>
      <c r="BB19" s="68"/>
      <c r="BC19" s="69"/>
      <c r="BD19" s="69"/>
      <c r="BE19" s="69"/>
      <c r="BF19" s="70"/>
      <c r="BG19" s="68"/>
      <c r="BH19" s="69"/>
      <c r="BI19" s="69"/>
      <c r="BJ19" s="69"/>
      <c r="BK19" s="70"/>
      <c r="BL19" s="68"/>
      <c r="BM19" s="69"/>
      <c r="BN19" s="69"/>
      <c r="BO19" s="69"/>
      <c r="BP19" s="70"/>
      <c r="BR19" s="12"/>
      <c r="BS19" s="12"/>
      <c r="BT19" s="53"/>
      <c r="BU19" s="54"/>
      <c r="BV19" s="54"/>
      <c r="BW19" s="54"/>
      <c r="BX19" s="54"/>
      <c r="BY19" s="54"/>
      <c r="BZ19" s="54"/>
      <c r="CA19" s="54"/>
      <c r="CB19" s="54"/>
      <c r="CC19" s="54"/>
      <c r="CD19" s="54"/>
      <c r="CE19" s="54"/>
      <c r="CF19" s="54"/>
      <c r="CG19" s="54"/>
      <c r="CH19" s="55"/>
      <c r="CI19" s="12"/>
    </row>
    <row r="20" spans="1:87" x14ac:dyDescent="0.25">
      <c r="BR20" s="12"/>
      <c r="BS20" s="12"/>
      <c r="BT20" s="106"/>
      <c r="BU20" s="106"/>
      <c r="BV20" s="106"/>
      <c r="BW20" s="106"/>
      <c r="BX20" s="106"/>
      <c r="BY20" s="106"/>
      <c r="BZ20" s="106"/>
      <c r="CA20" s="106"/>
      <c r="CB20" s="106"/>
      <c r="CC20" s="106"/>
      <c r="CD20" s="106"/>
      <c r="CE20" s="106"/>
      <c r="CF20" s="106"/>
      <c r="CG20" s="106"/>
      <c r="CH20" s="106"/>
      <c r="CI20" s="12"/>
    </row>
    <row r="23" spans="1:87" x14ac:dyDescent="0.25">
      <c r="I23" s="7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49">
        <f>AK1</f>
        <v>120</v>
      </c>
      <c r="AN23" s="66"/>
      <c r="AO23" s="66"/>
      <c r="AP23" s="66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9"/>
    </row>
    <row r="24" spans="1:87" x14ac:dyDescent="0.25">
      <c r="C24" s="109"/>
      <c r="D24" s="109"/>
      <c r="E24" s="111"/>
      <c r="F24" s="111"/>
      <c r="G24" s="107"/>
      <c r="H24" s="107"/>
      <c r="I24" s="2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66"/>
      <c r="AN24" s="66"/>
      <c r="AO24" s="66"/>
      <c r="AP24" s="66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4"/>
      <c r="BQ24" s="109"/>
      <c r="BR24" s="109"/>
      <c r="BS24" s="111"/>
      <c r="BT24" s="111"/>
      <c r="BU24" s="107"/>
      <c r="BV24" s="107"/>
    </row>
    <row r="25" spans="1:87" x14ac:dyDescent="0.25">
      <c r="A25" s="17"/>
      <c r="B25" s="17"/>
      <c r="C25" s="110"/>
      <c r="D25" s="110"/>
      <c r="E25" s="112"/>
      <c r="F25" s="112"/>
      <c r="G25" s="108"/>
      <c r="H25" s="108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10"/>
      <c r="BR25" s="110"/>
      <c r="BS25" s="66"/>
      <c r="BT25" s="66"/>
      <c r="BU25" s="108"/>
      <c r="BV25" s="108"/>
      <c r="BW25" s="17"/>
      <c r="BX25" s="17"/>
      <c r="BY25" s="112" t="s">
        <v>9</v>
      </c>
      <c r="BZ25" s="112"/>
      <c r="CA25" s="112"/>
      <c r="CB25" s="112"/>
      <c r="CC25" s="112"/>
      <c r="CD25" s="112"/>
      <c r="CE25" s="17"/>
      <c r="CF25" s="17"/>
      <c r="CG25" s="17"/>
      <c r="CH25" s="17"/>
    </row>
    <row r="26" spans="1:87" x14ac:dyDescent="0.25">
      <c r="F26" s="12"/>
      <c r="G26" s="12"/>
      <c r="H26" s="12"/>
      <c r="I26" s="11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BP26" s="6"/>
      <c r="BQ26" s="5"/>
      <c r="BS26" s="4"/>
      <c r="BT26" s="2"/>
      <c r="BY26" s="113" t="s">
        <v>10</v>
      </c>
      <c r="BZ26" s="113"/>
      <c r="CA26" s="113"/>
      <c r="CB26" s="113"/>
      <c r="CC26" s="113"/>
      <c r="CD26" s="113"/>
    </row>
    <row r="27" spans="1:87" x14ac:dyDescent="0.25">
      <c r="F27" s="12"/>
      <c r="G27" s="12"/>
      <c r="H27" s="12"/>
      <c r="I27" s="11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BP27" s="6"/>
      <c r="BQ27" s="5"/>
      <c r="BS27" s="6"/>
      <c r="BT27" s="5"/>
      <c r="BY27" s="66"/>
      <c r="BZ27" s="66"/>
      <c r="CA27" s="66"/>
      <c r="CB27" s="66"/>
      <c r="CC27" s="66"/>
      <c r="CD27" s="66"/>
    </row>
    <row r="28" spans="1:87" x14ac:dyDescent="0.25">
      <c r="F28" s="12"/>
      <c r="G28" s="12"/>
      <c r="H28" s="12"/>
      <c r="I28" s="14"/>
      <c r="J28" s="15"/>
      <c r="K28" s="15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BN28" s="8"/>
      <c r="BO28" s="8"/>
      <c r="BP28" s="9"/>
      <c r="BQ28" s="20"/>
      <c r="BR28" s="21"/>
      <c r="BS28" s="22"/>
      <c r="BT28" s="20"/>
      <c r="BU28" s="21"/>
      <c r="BV28" s="21"/>
      <c r="BW28" s="21"/>
      <c r="BX28" s="21"/>
      <c r="BY28" s="114"/>
      <c r="BZ28" s="114"/>
      <c r="CA28" s="114"/>
      <c r="CB28" s="114"/>
      <c r="CC28" s="114"/>
      <c r="CD28" s="114"/>
    </row>
    <row r="29" spans="1:87" x14ac:dyDescent="0.25">
      <c r="F29" s="12"/>
      <c r="G29" s="12"/>
      <c r="H29" s="12"/>
      <c r="I29" s="12"/>
      <c r="J29" s="12"/>
      <c r="K29" s="12"/>
      <c r="L29" s="11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BM29" s="6"/>
      <c r="BN29" s="5"/>
      <c r="BS29" s="64">
        <v>2.5</v>
      </c>
      <c r="BT29" s="49"/>
      <c r="BY29" s="66" t="s">
        <v>11</v>
      </c>
      <c r="BZ29" s="66"/>
      <c r="CA29" s="66"/>
      <c r="CB29" s="66"/>
      <c r="CC29" s="66"/>
      <c r="CD29" s="66"/>
    </row>
    <row r="30" spans="1:87" x14ac:dyDescent="0.25">
      <c r="F30" s="12"/>
      <c r="G30" s="12"/>
      <c r="H30" s="12"/>
      <c r="I30" s="12"/>
      <c r="J30" s="12"/>
      <c r="K30" s="12"/>
      <c r="L30" s="11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BM30" s="6"/>
      <c r="BN30" s="5"/>
      <c r="BS30" s="64"/>
      <c r="BT30" s="49"/>
      <c r="BY30" s="66"/>
      <c r="BZ30" s="66"/>
      <c r="CA30" s="66"/>
      <c r="CB30" s="66"/>
      <c r="CC30" s="66"/>
      <c r="CD30" s="66"/>
    </row>
    <row r="31" spans="1:87" x14ac:dyDescent="0.25">
      <c r="F31" s="12"/>
      <c r="G31" s="12"/>
      <c r="H31" s="12"/>
      <c r="I31" s="12"/>
      <c r="J31" s="12"/>
      <c r="K31" s="12"/>
      <c r="L31" s="14"/>
      <c r="M31" s="15"/>
      <c r="N31" s="15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BK31" s="8"/>
      <c r="BL31" s="8"/>
      <c r="BM31" s="9"/>
      <c r="BN31" s="20"/>
      <c r="BO31" s="21"/>
      <c r="BP31" s="21"/>
      <c r="BQ31" s="21"/>
      <c r="BR31" s="21"/>
      <c r="BS31" s="22"/>
      <c r="BT31" s="20"/>
      <c r="BU31" s="21"/>
      <c r="BV31" s="21"/>
      <c r="BW31" s="21"/>
      <c r="BX31" s="21"/>
      <c r="BY31" s="114"/>
      <c r="BZ31" s="114"/>
      <c r="CA31" s="114"/>
      <c r="CB31" s="114"/>
      <c r="CC31" s="114"/>
      <c r="CD31" s="114"/>
    </row>
    <row r="32" spans="1:87" ht="7.5" customHeight="1" x14ac:dyDescent="0.25">
      <c r="F32" s="12"/>
      <c r="G32" s="12"/>
      <c r="H32" s="12"/>
      <c r="I32" s="12"/>
      <c r="J32" s="12"/>
      <c r="K32" s="12"/>
      <c r="L32" s="12"/>
      <c r="M32" s="12"/>
      <c r="N32" s="12"/>
      <c r="O32" s="11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BJ32" s="6"/>
      <c r="BK32" s="5"/>
      <c r="BS32" s="6"/>
      <c r="BT32" s="5"/>
      <c r="BY32" s="66" t="s">
        <v>14</v>
      </c>
      <c r="BZ32" s="66"/>
      <c r="CA32" s="66"/>
      <c r="CB32" s="66"/>
      <c r="CC32" s="66"/>
      <c r="CD32" s="66"/>
    </row>
    <row r="33" spans="1:86" ht="7.5" customHeight="1" x14ac:dyDescent="0.25">
      <c r="F33" s="12"/>
      <c r="G33" s="12"/>
      <c r="H33" s="12"/>
      <c r="I33" s="12"/>
      <c r="J33" s="12"/>
      <c r="K33" s="12"/>
      <c r="L33" s="12"/>
      <c r="M33" s="12"/>
      <c r="N33" s="12"/>
      <c r="O33" s="11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BJ33" s="6"/>
      <c r="BK33" s="5"/>
      <c r="BS33" s="6"/>
      <c r="BT33" s="5"/>
      <c r="BY33" s="66"/>
      <c r="BZ33" s="66"/>
      <c r="CA33" s="66"/>
      <c r="CB33" s="66"/>
      <c r="CC33" s="66"/>
      <c r="CD33" s="66"/>
    </row>
    <row r="34" spans="1:86" ht="7.5" customHeight="1" x14ac:dyDescent="0.25">
      <c r="F34" s="12"/>
      <c r="G34" s="12"/>
      <c r="H34" s="12"/>
      <c r="I34" s="12"/>
      <c r="J34" s="12"/>
      <c r="K34" s="12"/>
      <c r="L34" s="12"/>
      <c r="M34" s="12"/>
      <c r="N34" s="12"/>
      <c r="O34" s="14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9"/>
      <c r="BK34" s="20"/>
      <c r="BL34" s="21"/>
      <c r="BM34" s="21"/>
      <c r="BN34" s="21"/>
      <c r="BO34" s="21"/>
      <c r="BP34" s="21"/>
      <c r="BQ34" s="21"/>
      <c r="BR34" s="21"/>
      <c r="BS34" s="9"/>
      <c r="BT34" s="7"/>
      <c r="BU34" s="21"/>
      <c r="BV34" s="21"/>
      <c r="BW34" s="21"/>
      <c r="BX34" s="21"/>
      <c r="BY34" s="114"/>
      <c r="BZ34" s="114"/>
      <c r="CA34" s="114"/>
      <c r="CB34" s="114"/>
      <c r="CC34" s="114"/>
      <c r="CD34" s="114"/>
    </row>
    <row r="35" spans="1:86" x14ac:dyDescent="0.25"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</row>
    <row r="36" spans="1:86" x14ac:dyDescent="0.25">
      <c r="F36" s="12"/>
      <c r="G36" s="12"/>
      <c r="H36" s="12"/>
      <c r="I36" s="12"/>
      <c r="J36" s="12"/>
      <c r="K36" s="12"/>
      <c r="L36" s="12"/>
      <c r="M36" s="12"/>
      <c r="N36" s="12"/>
      <c r="O36" s="14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8"/>
      <c r="AJ36" s="8"/>
      <c r="AK36" s="8"/>
      <c r="AL36" s="8"/>
      <c r="AM36" s="49">
        <f>AM23-4</f>
        <v>116</v>
      </c>
      <c r="AN36" s="66"/>
      <c r="AO36" s="66"/>
      <c r="AP36" s="66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9"/>
    </row>
    <row r="37" spans="1:86" x14ac:dyDescent="0.25">
      <c r="F37" s="12"/>
      <c r="G37" s="12"/>
      <c r="H37" s="12"/>
      <c r="I37" s="12"/>
      <c r="J37" s="12"/>
      <c r="K37" s="12"/>
      <c r="L37" s="12"/>
      <c r="M37" s="12"/>
      <c r="N37" s="12"/>
      <c r="O37" s="18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3"/>
      <c r="AJ37" s="3"/>
      <c r="AK37" s="3"/>
      <c r="AL37" s="3"/>
      <c r="AM37" s="66"/>
      <c r="AN37" s="66"/>
      <c r="AO37" s="66"/>
      <c r="AP37" s="66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4"/>
    </row>
    <row r="38" spans="1:86" x14ac:dyDescent="0.25"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</row>
    <row r="39" spans="1:86" x14ac:dyDescent="0.25"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</row>
    <row r="40" spans="1:86" x14ac:dyDescent="0.25">
      <c r="A40" s="48" t="s">
        <v>13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  <c r="BW40" s="48"/>
      <c r="BX40" s="48"/>
      <c r="BY40" s="48"/>
      <c r="BZ40" s="48"/>
      <c r="CA40" s="48"/>
      <c r="CB40" s="48"/>
      <c r="CC40" s="48"/>
      <c r="CD40" s="48"/>
      <c r="CE40" s="48"/>
      <c r="CF40" s="48"/>
      <c r="CG40" s="48"/>
      <c r="CH40" s="48"/>
    </row>
    <row r="41" spans="1:86" x14ac:dyDescent="0.25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  <c r="BW41" s="48"/>
      <c r="BX41" s="48"/>
      <c r="BY41" s="48"/>
      <c r="BZ41" s="48"/>
      <c r="CA41" s="48"/>
      <c r="CB41" s="48"/>
      <c r="CC41" s="48"/>
      <c r="CD41" s="48"/>
      <c r="CE41" s="48"/>
      <c r="CF41" s="48"/>
      <c r="CG41" s="48"/>
      <c r="CH41" s="48"/>
    </row>
    <row r="42" spans="1:86" x14ac:dyDescent="0.25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  <c r="BW42" s="48"/>
      <c r="BX42" s="48"/>
      <c r="BY42" s="48"/>
      <c r="BZ42" s="48"/>
      <c r="CA42" s="48"/>
      <c r="CB42" s="48"/>
      <c r="CC42" s="48"/>
      <c r="CD42" s="48"/>
      <c r="CE42" s="48"/>
      <c r="CF42" s="48"/>
      <c r="CG42" s="48"/>
      <c r="CH42" s="48"/>
    </row>
    <row r="43" spans="1:86" x14ac:dyDescent="0.25"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</row>
    <row r="44" spans="1:86" x14ac:dyDescent="0.25"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</row>
  </sheetData>
  <mergeCells count="118">
    <mergeCell ref="BT5:BX6"/>
    <mergeCell ref="BY5:CC6"/>
    <mergeCell ref="CD5:CH6"/>
    <mergeCell ref="BL18:BP19"/>
    <mergeCell ref="BL8:BP9"/>
    <mergeCell ref="BL13:BP14"/>
    <mergeCell ref="BT12:CH13"/>
    <mergeCell ref="BG10:BK12"/>
    <mergeCell ref="BL10:BP12"/>
    <mergeCell ref="BT8:CH11"/>
    <mergeCell ref="N15:R17"/>
    <mergeCell ref="S15:W17"/>
    <mergeCell ref="X15:AB17"/>
    <mergeCell ref="AC15:AG17"/>
    <mergeCell ref="AH15:AL17"/>
    <mergeCell ref="AM15:AQ17"/>
    <mergeCell ref="AR15:AV17"/>
    <mergeCell ref="AW15:BA17"/>
    <mergeCell ref="N18:R19"/>
    <mergeCell ref="AW18:BA19"/>
    <mergeCell ref="AM36:AP37"/>
    <mergeCell ref="A40:CH42"/>
    <mergeCell ref="I8:M9"/>
    <mergeCell ref="N8:R9"/>
    <mergeCell ref="S8:W9"/>
    <mergeCell ref="AC8:AG9"/>
    <mergeCell ref="AH8:AL9"/>
    <mergeCell ref="AM8:AQ9"/>
    <mergeCell ref="AR8:AV9"/>
    <mergeCell ref="AW8:BA9"/>
    <mergeCell ref="BU24:BV25"/>
    <mergeCell ref="BY25:CD25"/>
    <mergeCell ref="BY26:CD28"/>
    <mergeCell ref="BS29:BT30"/>
    <mergeCell ref="BY29:CD31"/>
    <mergeCell ref="BY32:CD34"/>
    <mergeCell ref="AM23:AP24"/>
    <mergeCell ref="C24:D25"/>
    <mergeCell ref="E24:F25"/>
    <mergeCell ref="I15:M17"/>
    <mergeCell ref="I18:M19"/>
    <mergeCell ref="X10:AB12"/>
    <mergeCell ref="X13:AB14"/>
    <mergeCell ref="BG15:BK17"/>
    <mergeCell ref="D12:G12"/>
    <mergeCell ref="H10:H14"/>
    <mergeCell ref="I10:M12"/>
    <mergeCell ref="N10:R12"/>
    <mergeCell ref="S10:W12"/>
    <mergeCell ref="G24:H25"/>
    <mergeCell ref="BQ24:BR25"/>
    <mergeCell ref="BS24:BT25"/>
    <mergeCell ref="X4:AB4"/>
    <mergeCell ref="H15:H19"/>
    <mergeCell ref="X5:AB7"/>
    <mergeCell ref="X8:AB9"/>
    <mergeCell ref="BL15:BP17"/>
    <mergeCell ref="BG18:BK19"/>
    <mergeCell ref="BB15:BF17"/>
    <mergeCell ref="BB8:BF9"/>
    <mergeCell ref="BG8:BK9"/>
    <mergeCell ref="BG13:BK14"/>
    <mergeCell ref="I13:M14"/>
    <mergeCell ref="BB13:BF14"/>
    <mergeCell ref="S18:W19"/>
    <mergeCell ref="X18:AB19"/>
    <mergeCell ref="AC18:AG19"/>
    <mergeCell ref="AH18:AL19"/>
    <mergeCell ref="N13:R14"/>
    <mergeCell ref="S13:W14"/>
    <mergeCell ref="AC13:AG14"/>
    <mergeCell ref="AH13:AL14"/>
    <mergeCell ref="AM13:AQ14"/>
    <mergeCell ref="AR13:AV14"/>
    <mergeCell ref="AW13:BA14"/>
    <mergeCell ref="AH10:AL12"/>
    <mergeCell ref="AM10:AQ12"/>
    <mergeCell ref="AR10:AV12"/>
    <mergeCell ref="AW10:BA12"/>
    <mergeCell ref="AC10:AG12"/>
    <mergeCell ref="H5:H9"/>
    <mergeCell ref="I5:M7"/>
    <mergeCell ref="N5:R7"/>
    <mergeCell ref="S5:W7"/>
    <mergeCell ref="AC5:AG7"/>
    <mergeCell ref="AH5:AL7"/>
    <mergeCell ref="AM5:AQ7"/>
    <mergeCell ref="AR5:AV7"/>
    <mergeCell ref="I4:M4"/>
    <mergeCell ref="N4:R4"/>
    <mergeCell ref="S4:W4"/>
    <mergeCell ref="AC4:AG4"/>
    <mergeCell ref="AH4:AL4"/>
    <mergeCell ref="AM4:AQ4"/>
    <mergeCell ref="BT20:CH20"/>
    <mergeCell ref="AK1:AN2"/>
    <mergeCell ref="BT1:BX2"/>
    <mergeCell ref="BY1:CC2"/>
    <mergeCell ref="CD1:CH2"/>
    <mergeCell ref="BT3:BX4"/>
    <mergeCell ref="BY3:CC4"/>
    <mergeCell ref="CD3:CH4"/>
    <mergeCell ref="AR4:AV4"/>
    <mergeCell ref="AW4:BA4"/>
    <mergeCell ref="BB4:BF4"/>
    <mergeCell ref="AW5:BA7"/>
    <mergeCell ref="BB5:BF7"/>
    <mergeCell ref="BG5:BK7"/>
    <mergeCell ref="BL5:BP7"/>
    <mergeCell ref="BG4:BK4"/>
    <mergeCell ref="BL4:BP4"/>
    <mergeCell ref="BB10:BF12"/>
    <mergeCell ref="AM18:AQ19"/>
    <mergeCell ref="AR18:AV19"/>
    <mergeCell ref="BB18:BF19"/>
    <mergeCell ref="BT14:CH15"/>
    <mergeCell ref="BT16:CH17"/>
    <mergeCell ref="BT18:CH19"/>
  </mergeCells>
  <phoneticPr fontId="1" type="noConversion"/>
  <pageMargins left="0.25" right="0.25" top="0.75" bottom="0.75" header="0.3" footer="0.3"/>
  <pageSetup paperSize="9" scale="6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5542B-CD18-4C90-B8AA-B19F72972A7B}">
  <sheetPr>
    <pageSetUpPr fitToPage="1"/>
  </sheetPr>
  <dimension ref="A1:AP47"/>
  <sheetViews>
    <sheetView workbookViewId="0">
      <selection activeCell="AU7" sqref="AU7"/>
    </sheetView>
  </sheetViews>
  <sheetFormatPr defaultColWidth="2.7109375" defaultRowHeight="15" x14ac:dyDescent="0.25"/>
  <cols>
    <col min="1" max="8" width="2.7109375" style="1"/>
    <col min="9" max="9" width="2.7109375" style="1" customWidth="1"/>
    <col min="10" max="16384" width="2.7109375" style="1"/>
  </cols>
  <sheetData>
    <row r="1" spans="6:42" x14ac:dyDescent="0.25">
      <c r="J1" s="7"/>
      <c r="K1" s="8"/>
      <c r="L1" s="8"/>
      <c r="M1" s="8"/>
      <c r="N1" s="8"/>
      <c r="O1" s="8"/>
      <c r="P1" s="49">
        <f>SUM(J4:X4)</f>
        <v>30</v>
      </c>
      <c r="Q1" s="49"/>
      <c r="R1" s="49"/>
      <c r="S1" s="8"/>
      <c r="T1" s="8"/>
      <c r="U1" s="8"/>
      <c r="V1" s="8"/>
      <c r="W1" s="8"/>
      <c r="X1" s="9"/>
      <c r="AB1" s="83" t="s">
        <v>0</v>
      </c>
      <c r="AC1" s="83"/>
      <c r="AD1" s="83"/>
      <c r="AE1" s="83"/>
      <c r="AF1" s="83"/>
      <c r="AG1" s="83" t="s">
        <v>1</v>
      </c>
      <c r="AH1" s="83"/>
      <c r="AI1" s="83"/>
      <c r="AJ1" s="83"/>
      <c r="AK1" s="83"/>
      <c r="AL1" s="83" t="s">
        <v>2</v>
      </c>
      <c r="AM1" s="83"/>
      <c r="AN1" s="83"/>
      <c r="AO1" s="83"/>
      <c r="AP1" s="83"/>
    </row>
    <row r="2" spans="6:42" x14ac:dyDescent="0.25">
      <c r="J2" s="2"/>
      <c r="K2" s="3"/>
      <c r="L2" s="3"/>
      <c r="M2" s="3"/>
      <c r="N2" s="3"/>
      <c r="O2" s="3"/>
      <c r="P2" s="49"/>
      <c r="Q2" s="49"/>
      <c r="R2" s="49"/>
      <c r="S2" s="3"/>
      <c r="T2" s="3"/>
      <c r="U2" s="3"/>
      <c r="V2" s="3"/>
      <c r="W2" s="3"/>
      <c r="X2" s="31"/>
      <c r="Z2" s="12"/>
      <c r="AA2" s="12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83"/>
      <c r="AP2" s="83"/>
    </row>
    <row r="3" spans="6:42" x14ac:dyDescent="0.25">
      <c r="Z3" s="12"/>
      <c r="AA3" s="12"/>
      <c r="AB3" s="80" t="s">
        <v>44</v>
      </c>
      <c r="AC3" s="80"/>
      <c r="AD3" s="80"/>
      <c r="AE3" s="80"/>
      <c r="AF3" s="80"/>
      <c r="AG3" s="81">
        <f>SUM(J5+O5+T5)/3</f>
        <v>98.83</v>
      </c>
      <c r="AH3" s="81"/>
      <c r="AI3" s="81"/>
      <c r="AJ3" s="81"/>
      <c r="AK3" s="81"/>
      <c r="AL3" s="81">
        <f>100-AG3</f>
        <v>1.1700000000000017</v>
      </c>
      <c r="AM3" s="81"/>
      <c r="AN3" s="81"/>
      <c r="AO3" s="81"/>
      <c r="AP3" s="81"/>
    </row>
    <row r="4" spans="6:42" x14ac:dyDescent="0.25">
      <c r="J4" s="82">
        <v>10</v>
      </c>
      <c r="K4" s="82"/>
      <c r="L4" s="82"/>
      <c r="M4" s="82"/>
      <c r="N4" s="82"/>
      <c r="O4" s="82">
        <v>10</v>
      </c>
      <c r="P4" s="82"/>
      <c r="Q4" s="82"/>
      <c r="R4" s="82"/>
      <c r="S4" s="82"/>
      <c r="T4" s="82">
        <v>10</v>
      </c>
      <c r="U4" s="82"/>
      <c r="V4" s="82"/>
      <c r="W4" s="82"/>
      <c r="X4" s="82"/>
      <c r="Z4" s="12"/>
      <c r="AA4" s="12"/>
      <c r="AB4" s="80"/>
      <c r="AC4" s="80"/>
      <c r="AD4" s="80"/>
      <c r="AE4" s="80"/>
      <c r="AF4" s="80"/>
      <c r="AG4" s="81"/>
      <c r="AH4" s="81"/>
      <c r="AI4" s="81"/>
      <c r="AJ4" s="81"/>
      <c r="AK4" s="81"/>
      <c r="AL4" s="81"/>
      <c r="AM4" s="81"/>
      <c r="AN4" s="81"/>
      <c r="AO4" s="81"/>
      <c r="AP4" s="81"/>
    </row>
    <row r="5" spans="6:42" x14ac:dyDescent="0.25">
      <c r="F5" s="4"/>
      <c r="G5" s="2"/>
      <c r="I5" s="59">
        <v>8</v>
      </c>
      <c r="J5" s="60">
        <f>100-1.15</f>
        <v>98.85</v>
      </c>
      <c r="K5" s="61"/>
      <c r="L5" s="61"/>
      <c r="M5" s="61"/>
      <c r="N5" s="62"/>
      <c r="O5" s="60">
        <f>100-1.18</f>
        <v>98.82</v>
      </c>
      <c r="P5" s="61"/>
      <c r="Q5" s="61"/>
      <c r="R5" s="61"/>
      <c r="S5" s="62"/>
      <c r="T5" s="60">
        <f>100-1.18</f>
        <v>98.82</v>
      </c>
      <c r="U5" s="61"/>
      <c r="V5" s="61"/>
      <c r="W5" s="61"/>
      <c r="X5" s="62"/>
      <c r="Z5" s="12"/>
      <c r="AA5" s="12"/>
      <c r="AB5" s="80" t="s">
        <v>45</v>
      </c>
      <c r="AC5" s="80"/>
      <c r="AD5" s="80"/>
      <c r="AE5" s="80"/>
      <c r="AF5" s="80"/>
      <c r="AG5" s="81">
        <f>SUM(T9+T14+T19+T24+O24+J24+J19+J14+J9)/9</f>
        <v>98.873333333333349</v>
      </c>
      <c r="AH5" s="81"/>
      <c r="AI5" s="81"/>
      <c r="AJ5" s="81"/>
      <c r="AK5" s="81"/>
      <c r="AL5" s="81">
        <f t="shared" ref="AL5" si="0">100-AG5</f>
        <v>1.1266666666666509</v>
      </c>
      <c r="AM5" s="81"/>
      <c r="AN5" s="81"/>
      <c r="AO5" s="81"/>
      <c r="AP5" s="81"/>
    </row>
    <row r="6" spans="6:42" ht="15" customHeight="1" x14ac:dyDescent="0.25">
      <c r="F6" s="6"/>
      <c r="G6" s="5"/>
      <c r="I6" s="59"/>
      <c r="J6" s="63"/>
      <c r="K6" s="49"/>
      <c r="L6" s="49"/>
      <c r="M6" s="49"/>
      <c r="N6" s="64"/>
      <c r="O6" s="63"/>
      <c r="P6" s="49"/>
      <c r="Q6" s="49"/>
      <c r="R6" s="49"/>
      <c r="S6" s="64"/>
      <c r="T6" s="63"/>
      <c r="U6" s="49"/>
      <c r="V6" s="49"/>
      <c r="W6" s="49"/>
      <c r="X6" s="64"/>
      <c r="Z6" s="12"/>
      <c r="AA6" s="12"/>
      <c r="AB6" s="80"/>
      <c r="AC6" s="80"/>
      <c r="AD6" s="80"/>
      <c r="AE6" s="80"/>
      <c r="AF6" s="80"/>
      <c r="AG6" s="81"/>
      <c r="AH6" s="81"/>
      <c r="AI6" s="81"/>
      <c r="AJ6" s="81"/>
      <c r="AK6" s="81"/>
      <c r="AL6" s="81"/>
      <c r="AM6" s="81"/>
      <c r="AN6" s="81"/>
      <c r="AO6" s="81"/>
      <c r="AP6" s="81"/>
    </row>
    <row r="7" spans="6:42" ht="15" customHeight="1" x14ac:dyDescent="0.25">
      <c r="F7" s="6"/>
      <c r="G7" s="5"/>
      <c r="I7" s="59"/>
      <c r="J7" s="65">
        <v>1</v>
      </c>
      <c r="K7" s="66"/>
      <c r="L7" s="66"/>
      <c r="M7" s="66"/>
      <c r="N7" s="67"/>
      <c r="O7" s="65">
        <v>2</v>
      </c>
      <c r="P7" s="66"/>
      <c r="Q7" s="66"/>
      <c r="R7" s="66"/>
      <c r="S7" s="67"/>
      <c r="T7" s="65">
        <v>3</v>
      </c>
      <c r="U7" s="66"/>
      <c r="V7" s="66"/>
      <c r="W7" s="66"/>
      <c r="X7" s="67"/>
      <c r="Z7" s="12"/>
      <c r="AA7" s="12"/>
      <c r="AB7" s="80" t="s">
        <v>46</v>
      </c>
      <c r="AC7" s="80"/>
      <c r="AD7" s="80"/>
      <c r="AE7" s="80"/>
      <c r="AF7" s="80"/>
      <c r="AG7" s="81">
        <f>SUM(O9+O14+O19)/3</f>
        <v>98.667999999999992</v>
      </c>
      <c r="AH7" s="81"/>
      <c r="AI7" s="81"/>
      <c r="AJ7" s="81"/>
      <c r="AK7" s="81"/>
      <c r="AL7" s="81">
        <f t="shared" ref="AL7" si="1">100-AG7</f>
        <v>1.3320000000000078</v>
      </c>
      <c r="AM7" s="81"/>
      <c r="AN7" s="81"/>
      <c r="AO7" s="81"/>
      <c r="AP7" s="81"/>
    </row>
    <row r="8" spans="6:42" x14ac:dyDescent="0.25">
      <c r="F8" s="6"/>
      <c r="G8" s="5"/>
      <c r="I8" s="59"/>
      <c r="J8" s="68"/>
      <c r="K8" s="69"/>
      <c r="L8" s="69"/>
      <c r="M8" s="69"/>
      <c r="N8" s="70"/>
      <c r="O8" s="68"/>
      <c r="P8" s="69"/>
      <c r="Q8" s="69"/>
      <c r="R8" s="69"/>
      <c r="S8" s="70"/>
      <c r="T8" s="68"/>
      <c r="U8" s="69"/>
      <c r="V8" s="69"/>
      <c r="W8" s="69"/>
      <c r="X8" s="70"/>
      <c r="Z8" s="12"/>
      <c r="AA8" s="12"/>
      <c r="AB8" s="80"/>
      <c r="AC8" s="80"/>
      <c r="AD8" s="80"/>
      <c r="AE8" s="80"/>
      <c r="AF8" s="80"/>
      <c r="AG8" s="81"/>
      <c r="AH8" s="81"/>
      <c r="AI8" s="81"/>
      <c r="AJ8" s="81"/>
      <c r="AK8" s="81"/>
      <c r="AL8" s="81"/>
      <c r="AM8" s="81"/>
      <c r="AN8" s="81"/>
      <c r="AO8" s="81"/>
      <c r="AP8" s="81"/>
    </row>
    <row r="9" spans="6:42" ht="15" customHeight="1" x14ac:dyDescent="0.25">
      <c r="F9" s="6"/>
      <c r="G9" s="5"/>
      <c r="I9" s="59">
        <v>10</v>
      </c>
      <c r="J9" s="60">
        <f>100-1.18</f>
        <v>98.82</v>
      </c>
      <c r="K9" s="61"/>
      <c r="L9" s="61"/>
      <c r="M9" s="61"/>
      <c r="N9" s="62"/>
      <c r="O9" s="60">
        <f>SUM(J9+J5+O5+T5+T9)/5-0.2</f>
        <v>98.625999999999991</v>
      </c>
      <c r="P9" s="61"/>
      <c r="Q9" s="61"/>
      <c r="R9" s="61"/>
      <c r="S9" s="62"/>
      <c r="T9" s="60">
        <f>100-1.18</f>
        <v>98.82</v>
      </c>
      <c r="U9" s="61"/>
      <c r="V9" s="61"/>
      <c r="W9" s="61"/>
      <c r="X9" s="62"/>
      <c r="Z9" s="12"/>
      <c r="AA9" s="12"/>
      <c r="AB9" s="80"/>
      <c r="AC9" s="80"/>
      <c r="AD9" s="80"/>
      <c r="AE9" s="80"/>
      <c r="AF9" s="80"/>
      <c r="AG9" s="81"/>
      <c r="AH9" s="81"/>
      <c r="AI9" s="81"/>
      <c r="AJ9" s="81"/>
      <c r="AK9" s="81"/>
      <c r="AL9" s="81"/>
      <c r="AM9" s="81"/>
      <c r="AN9" s="81"/>
      <c r="AO9" s="81"/>
      <c r="AP9" s="81"/>
    </row>
    <row r="10" spans="6:42" x14ac:dyDescent="0.25">
      <c r="F10" s="6"/>
      <c r="G10" s="5"/>
      <c r="I10" s="59"/>
      <c r="J10" s="63"/>
      <c r="K10" s="49"/>
      <c r="L10" s="49"/>
      <c r="M10" s="49"/>
      <c r="N10" s="64"/>
      <c r="O10" s="63"/>
      <c r="P10" s="49"/>
      <c r="Q10" s="49"/>
      <c r="R10" s="49"/>
      <c r="S10" s="64"/>
      <c r="T10" s="63"/>
      <c r="U10" s="49"/>
      <c r="V10" s="49"/>
      <c r="W10" s="49"/>
      <c r="X10" s="64"/>
      <c r="Z10" s="12"/>
      <c r="AA10" s="12"/>
      <c r="AB10" s="80"/>
      <c r="AC10" s="80"/>
      <c r="AD10" s="80"/>
      <c r="AE10" s="80"/>
      <c r="AF10" s="80"/>
      <c r="AG10" s="81"/>
      <c r="AH10" s="81"/>
      <c r="AI10" s="81"/>
      <c r="AJ10" s="81"/>
      <c r="AK10" s="81"/>
      <c r="AL10" s="81"/>
      <c r="AM10" s="81"/>
      <c r="AN10" s="81"/>
      <c r="AO10" s="81"/>
      <c r="AP10" s="81"/>
    </row>
    <row r="11" spans="6:42" x14ac:dyDescent="0.25">
      <c r="F11" s="6"/>
      <c r="G11" s="5"/>
      <c r="I11" s="59"/>
      <c r="J11" s="63"/>
      <c r="K11" s="49"/>
      <c r="L11" s="49"/>
      <c r="M11" s="49"/>
      <c r="N11" s="64"/>
      <c r="O11" s="63"/>
      <c r="P11" s="49"/>
      <c r="Q11" s="49"/>
      <c r="R11" s="49"/>
      <c r="S11" s="64"/>
      <c r="T11" s="63"/>
      <c r="U11" s="49"/>
      <c r="V11" s="49"/>
      <c r="W11" s="49"/>
      <c r="X11" s="64"/>
      <c r="Z11" s="12"/>
      <c r="AA11" s="12"/>
      <c r="AB11" s="80"/>
      <c r="AC11" s="80"/>
      <c r="AD11" s="80"/>
      <c r="AE11" s="80"/>
      <c r="AF11" s="80"/>
      <c r="AG11" s="81"/>
      <c r="AH11" s="81"/>
      <c r="AI11" s="81"/>
      <c r="AJ11" s="81"/>
      <c r="AK11" s="81"/>
      <c r="AL11" s="81"/>
      <c r="AM11" s="81"/>
      <c r="AN11" s="81"/>
      <c r="AO11" s="81"/>
      <c r="AP11" s="81"/>
    </row>
    <row r="12" spans="6:42" x14ac:dyDescent="0.25">
      <c r="F12" s="6"/>
      <c r="G12" s="5"/>
      <c r="I12" s="59"/>
      <c r="J12" s="65">
        <v>12</v>
      </c>
      <c r="K12" s="66"/>
      <c r="L12" s="66"/>
      <c r="M12" s="66"/>
      <c r="N12" s="67"/>
      <c r="O12" s="65">
        <v>13</v>
      </c>
      <c r="P12" s="66"/>
      <c r="Q12" s="66"/>
      <c r="R12" s="66"/>
      <c r="S12" s="67"/>
      <c r="T12" s="65">
        <v>4</v>
      </c>
      <c r="U12" s="66"/>
      <c r="V12" s="66"/>
      <c r="W12" s="66"/>
      <c r="X12" s="67"/>
      <c r="Z12" s="12"/>
      <c r="AA12" s="12"/>
      <c r="AB12" s="80"/>
      <c r="AC12" s="80"/>
      <c r="AD12" s="80"/>
      <c r="AE12" s="80"/>
      <c r="AF12" s="80"/>
      <c r="AG12" s="81"/>
      <c r="AH12" s="81"/>
      <c r="AI12" s="81"/>
      <c r="AJ12" s="81"/>
      <c r="AK12" s="81"/>
      <c r="AL12" s="81"/>
      <c r="AM12" s="81"/>
      <c r="AN12" s="81"/>
      <c r="AO12" s="81"/>
      <c r="AP12" s="81"/>
    </row>
    <row r="13" spans="6:42" x14ac:dyDescent="0.25">
      <c r="F13" s="6"/>
      <c r="G13" s="5"/>
      <c r="I13" s="59"/>
      <c r="J13" s="68"/>
      <c r="K13" s="69"/>
      <c r="L13" s="69"/>
      <c r="M13" s="69"/>
      <c r="N13" s="70"/>
      <c r="O13" s="68"/>
      <c r="P13" s="69"/>
      <c r="Q13" s="69"/>
      <c r="R13" s="69"/>
      <c r="S13" s="70"/>
      <c r="T13" s="68"/>
      <c r="U13" s="69"/>
      <c r="V13" s="69"/>
      <c r="W13" s="69"/>
      <c r="X13" s="70"/>
      <c r="Z13" s="12"/>
      <c r="AA13" s="12"/>
      <c r="AB13" s="95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7"/>
    </row>
    <row r="14" spans="6:42" x14ac:dyDescent="0.25">
      <c r="F14" s="6"/>
      <c r="G14" s="5"/>
      <c r="I14" s="59">
        <v>10</v>
      </c>
      <c r="J14" s="60">
        <f>100-1.11</f>
        <v>98.89</v>
      </c>
      <c r="K14" s="61"/>
      <c r="L14" s="61"/>
      <c r="M14" s="61"/>
      <c r="N14" s="62"/>
      <c r="O14" s="60">
        <f>SUM(O9+O19)/2</f>
        <v>98.667999999999992</v>
      </c>
      <c r="P14" s="61"/>
      <c r="Q14" s="61"/>
      <c r="R14" s="61"/>
      <c r="S14" s="62"/>
      <c r="T14" s="60">
        <f>100-1.22</f>
        <v>98.78</v>
      </c>
      <c r="U14" s="61"/>
      <c r="V14" s="61"/>
      <c r="W14" s="61"/>
      <c r="X14" s="62"/>
      <c r="Z14" s="12"/>
      <c r="AA14" s="12"/>
      <c r="AB14" s="98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100"/>
    </row>
    <row r="15" spans="6:42" x14ac:dyDescent="0.25">
      <c r="F15" s="6"/>
      <c r="G15" s="5"/>
      <c r="I15" s="59"/>
      <c r="J15" s="63"/>
      <c r="K15" s="49"/>
      <c r="L15" s="49"/>
      <c r="M15" s="49"/>
      <c r="N15" s="64"/>
      <c r="O15" s="63"/>
      <c r="P15" s="49"/>
      <c r="Q15" s="49"/>
      <c r="R15" s="49"/>
      <c r="S15" s="64"/>
      <c r="T15" s="63"/>
      <c r="U15" s="49"/>
      <c r="V15" s="49"/>
      <c r="W15" s="49"/>
      <c r="X15" s="64"/>
      <c r="Z15" s="12"/>
      <c r="AA15" s="12"/>
      <c r="AB15" s="115" t="s">
        <v>48</v>
      </c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3"/>
    </row>
    <row r="16" spans="6:42" x14ac:dyDescent="0.25">
      <c r="F16" s="6"/>
      <c r="G16" s="5"/>
      <c r="I16" s="59"/>
      <c r="J16" s="63"/>
      <c r="K16" s="49"/>
      <c r="L16" s="49"/>
      <c r="M16" s="49"/>
      <c r="N16" s="64"/>
      <c r="O16" s="63"/>
      <c r="P16" s="49"/>
      <c r="Q16" s="49"/>
      <c r="R16" s="49"/>
      <c r="S16" s="64"/>
      <c r="T16" s="63"/>
      <c r="U16" s="49"/>
      <c r="V16" s="49"/>
      <c r="W16" s="49"/>
      <c r="X16" s="64"/>
      <c r="Z16" s="12"/>
      <c r="AA16" s="12"/>
      <c r="AB16" s="74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6"/>
    </row>
    <row r="17" spans="1:42" x14ac:dyDescent="0.25">
      <c r="F17" s="6"/>
      <c r="G17" s="5"/>
      <c r="I17" s="59"/>
      <c r="J17" s="65">
        <v>11</v>
      </c>
      <c r="K17" s="66"/>
      <c r="L17" s="66"/>
      <c r="M17" s="66"/>
      <c r="N17" s="67"/>
      <c r="O17" s="65">
        <v>14</v>
      </c>
      <c r="P17" s="66"/>
      <c r="Q17" s="66"/>
      <c r="R17" s="66"/>
      <c r="S17" s="67"/>
      <c r="T17" s="65">
        <v>5</v>
      </c>
      <c r="U17" s="66"/>
      <c r="V17" s="66"/>
      <c r="W17" s="66"/>
      <c r="X17" s="67"/>
      <c r="Z17" s="12"/>
      <c r="AA17" s="12"/>
      <c r="AB17" s="74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6"/>
    </row>
    <row r="18" spans="1:42" x14ac:dyDescent="0.25">
      <c r="E18" s="49">
        <f>SUM(I5:I28)</f>
        <v>48</v>
      </c>
      <c r="F18" s="49"/>
      <c r="G18" s="49"/>
      <c r="H18" s="49"/>
      <c r="I18" s="59"/>
      <c r="J18" s="68"/>
      <c r="K18" s="69"/>
      <c r="L18" s="69"/>
      <c r="M18" s="69"/>
      <c r="N18" s="70"/>
      <c r="O18" s="68"/>
      <c r="P18" s="69"/>
      <c r="Q18" s="69"/>
      <c r="R18" s="69"/>
      <c r="S18" s="70"/>
      <c r="T18" s="68"/>
      <c r="U18" s="69"/>
      <c r="V18" s="69"/>
      <c r="W18" s="69"/>
      <c r="X18" s="70"/>
      <c r="Z18" s="12"/>
      <c r="AA18" s="12"/>
      <c r="AB18" s="74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6"/>
    </row>
    <row r="19" spans="1:42" x14ac:dyDescent="0.25">
      <c r="E19" s="49"/>
      <c r="F19" s="49"/>
      <c r="G19" s="49"/>
      <c r="H19" s="49"/>
      <c r="I19" s="59">
        <v>10</v>
      </c>
      <c r="J19" s="60">
        <f>100-0.93</f>
        <v>99.07</v>
      </c>
      <c r="K19" s="61"/>
      <c r="L19" s="61"/>
      <c r="M19" s="61"/>
      <c r="N19" s="62"/>
      <c r="O19" s="60">
        <f>SUM(T19+T24+O24+J24+J19)/5-0.2</f>
        <v>98.71</v>
      </c>
      <c r="P19" s="61"/>
      <c r="Q19" s="61"/>
      <c r="R19" s="61"/>
      <c r="S19" s="62"/>
      <c r="T19" s="60">
        <f>100-1.15</f>
        <v>98.85</v>
      </c>
      <c r="U19" s="61"/>
      <c r="V19" s="61"/>
      <c r="W19" s="61"/>
      <c r="X19" s="62"/>
      <c r="Z19" s="12"/>
      <c r="AA19" s="12"/>
      <c r="AB19" s="74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6"/>
    </row>
    <row r="20" spans="1:42" x14ac:dyDescent="0.25">
      <c r="F20" s="6"/>
      <c r="G20" s="5"/>
      <c r="I20" s="59"/>
      <c r="J20" s="63"/>
      <c r="K20" s="49"/>
      <c r="L20" s="49"/>
      <c r="M20" s="49"/>
      <c r="N20" s="64"/>
      <c r="O20" s="63"/>
      <c r="P20" s="49"/>
      <c r="Q20" s="49"/>
      <c r="R20" s="49"/>
      <c r="S20" s="64"/>
      <c r="T20" s="63"/>
      <c r="U20" s="49"/>
      <c r="V20" s="49"/>
      <c r="W20" s="49"/>
      <c r="X20" s="64"/>
      <c r="Z20" s="12"/>
      <c r="AA20" s="12"/>
      <c r="AB20" s="77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/>
      <c r="AO20" s="78"/>
      <c r="AP20" s="79"/>
    </row>
    <row r="21" spans="1:42" x14ac:dyDescent="0.25">
      <c r="E21" s="10"/>
      <c r="F21" s="6"/>
      <c r="G21" s="5"/>
      <c r="H21" s="12"/>
      <c r="I21" s="59"/>
      <c r="J21" s="63"/>
      <c r="K21" s="49"/>
      <c r="L21" s="49"/>
      <c r="M21" s="49"/>
      <c r="N21" s="64"/>
      <c r="O21" s="63"/>
      <c r="P21" s="49"/>
      <c r="Q21" s="49"/>
      <c r="R21" s="49"/>
      <c r="S21" s="64"/>
      <c r="T21" s="63"/>
      <c r="U21" s="49"/>
      <c r="V21" s="49"/>
      <c r="W21" s="49"/>
      <c r="X21" s="64"/>
      <c r="Z21" s="12"/>
      <c r="AA21" s="12"/>
      <c r="AB21" s="50" t="s">
        <v>47</v>
      </c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2"/>
    </row>
    <row r="22" spans="1:42" x14ac:dyDescent="0.25">
      <c r="F22" s="6"/>
      <c r="G22" s="5"/>
      <c r="I22" s="59"/>
      <c r="J22" s="65">
        <v>10</v>
      </c>
      <c r="K22" s="66"/>
      <c r="L22" s="66"/>
      <c r="M22" s="66"/>
      <c r="N22" s="67"/>
      <c r="O22" s="65">
        <v>15</v>
      </c>
      <c r="P22" s="66"/>
      <c r="Q22" s="66"/>
      <c r="R22" s="66"/>
      <c r="S22" s="67"/>
      <c r="T22" s="65">
        <v>6</v>
      </c>
      <c r="U22" s="66"/>
      <c r="V22" s="66"/>
      <c r="W22" s="66"/>
      <c r="X22" s="67"/>
      <c r="Z22" s="12"/>
      <c r="AA22" s="12"/>
      <c r="AB22" s="53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5"/>
    </row>
    <row r="23" spans="1:42" x14ac:dyDescent="0.25">
      <c r="E23" s="10"/>
      <c r="F23" s="6"/>
      <c r="G23" s="5"/>
      <c r="H23" s="12"/>
      <c r="I23" s="59"/>
      <c r="J23" s="68"/>
      <c r="K23" s="69"/>
      <c r="L23" s="69"/>
      <c r="M23" s="69"/>
      <c r="N23" s="70"/>
      <c r="O23" s="68"/>
      <c r="P23" s="69"/>
      <c r="Q23" s="69"/>
      <c r="R23" s="69"/>
      <c r="S23" s="70"/>
      <c r="T23" s="68"/>
      <c r="U23" s="69"/>
      <c r="V23" s="69"/>
      <c r="W23" s="69"/>
      <c r="X23" s="70"/>
      <c r="Z23" s="12"/>
      <c r="AA23" s="12"/>
      <c r="AB23" s="50" t="s">
        <v>6</v>
      </c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2"/>
    </row>
    <row r="24" spans="1:42" x14ac:dyDescent="0.25">
      <c r="F24" s="6"/>
      <c r="G24" s="5"/>
      <c r="I24" s="59">
        <v>10</v>
      </c>
      <c r="J24" s="60">
        <f>100-1.14</f>
        <v>98.86</v>
      </c>
      <c r="K24" s="61"/>
      <c r="L24" s="61"/>
      <c r="M24" s="61"/>
      <c r="N24" s="62"/>
      <c r="O24" s="60">
        <f>100-1.15</f>
        <v>98.85</v>
      </c>
      <c r="P24" s="61"/>
      <c r="Q24" s="61"/>
      <c r="R24" s="61"/>
      <c r="S24" s="62"/>
      <c r="T24" s="60">
        <f>100-1.08</f>
        <v>98.92</v>
      </c>
      <c r="U24" s="61"/>
      <c r="V24" s="61"/>
      <c r="W24" s="61"/>
      <c r="X24" s="62"/>
      <c r="Z24" s="12"/>
      <c r="AA24" s="12"/>
      <c r="AB24" s="53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5"/>
    </row>
    <row r="25" spans="1:42" x14ac:dyDescent="0.25">
      <c r="F25" s="6"/>
      <c r="G25" s="5"/>
      <c r="I25" s="59"/>
      <c r="J25" s="63"/>
      <c r="K25" s="49"/>
      <c r="L25" s="49"/>
      <c r="M25" s="49"/>
      <c r="N25" s="64"/>
      <c r="O25" s="63"/>
      <c r="P25" s="49"/>
      <c r="Q25" s="49"/>
      <c r="R25" s="49"/>
      <c r="S25" s="64"/>
      <c r="T25" s="63"/>
      <c r="U25" s="49"/>
      <c r="V25" s="49"/>
      <c r="W25" s="49"/>
      <c r="X25" s="64"/>
      <c r="Z25" s="12"/>
      <c r="AA25" s="12"/>
      <c r="AB25" s="50" t="s">
        <v>7</v>
      </c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2"/>
    </row>
    <row r="26" spans="1:42" x14ac:dyDescent="0.25">
      <c r="F26" s="6"/>
      <c r="G26" s="5"/>
      <c r="I26" s="59"/>
      <c r="J26" s="63"/>
      <c r="K26" s="49"/>
      <c r="L26" s="49"/>
      <c r="M26" s="49"/>
      <c r="N26" s="64"/>
      <c r="O26" s="63"/>
      <c r="P26" s="49"/>
      <c r="Q26" s="49"/>
      <c r="R26" s="49"/>
      <c r="S26" s="64"/>
      <c r="T26" s="63"/>
      <c r="U26" s="49"/>
      <c r="V26" s="49"/>
      <c r="W26" s="49"/>
      <c r="X26" s="64"/>
      <c r="Z26" s="12"/>
      <c r="AA26" s="12"/>
      <c r="AB26" s="53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5"/>
    </row>
    <row r="27" spans="1:42" x14ac:dyDescent="0.25">
      <c r="F27" s="6"/>
      <c r="G27" s="5"/>
      <c r="I27" s="59"/>
      <c r="J27" s="65">
        <v>9</v>
      </c>
      <c r="K27" s="66"/>
      <c r="L27" s="66"/>
      <c r="M27" s="66"/>
      <c r="N27" s="67"/>
      <c r="O27" s="65">
        <v>8</v>
      </c>
      <c r="P27" s="66"/>
      <c r="Q27" s="66"/>
      <c r="R27" s="66"/>
      <c r="S27" s="67"/>
      <c r="T27" s="65">
        <v>7</v>
      </c>
      <c r="U27" s="66"/>
      <c r="V27" s="66"/>
      <c r="W27" s="66"/>
      <c r="X27" s="67"/>
      <c r="Z27" s="12"/>
      <c r="AA27" s="12"/>
      <c r="AB27" s="50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2"/>
    </row>
    <row r="28" spans="1:42" x14ac:dyDescent="0.25">
      <c r="F28" s="9"/>
      <c r="G28" s="7"/>
      <c r="I28" s="59"/>
      <c r="J28" s="68"/>
      <c r="K28" s="69"/>
      <c r="L28" s="69"/>
      <c r="M28" s="69"/>
      <c r="N28" s="70"/>
      <c r="O28" s="68"/>
      <c r="P28" s="69"/>
      <c r="Q28" s="69"/>
      <c r="R28" s="69"/>
      <c r="S28" s="70"/>
      <c r="T28" s="68"/>
      <c r="U28" s="69"/>
      <c r="V28" s="69"/>
      <c r="W28" s="69"/>
      <c r="X28" s="70"/>
      <c r="Z28" s="12"/>
      <c r="AA28" s="12"/>
      <c r="AB28" s="53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5"/>
    </row>
    <row r="29" spans="1:42" x14ac:dyDescent="0.25"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</row>
    <row r="31" spans="1:42" x14ac:dyDescent="0.25">
      <c r="H31" s="7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49">
        <f>P1</f>
        <v>30</v>
      </c>
      <c r="U31" s="49"/>
      <c r="V31" s="49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9"/>
    </row>
    <row r="32" spans="1:42" x14ac:dyDescent="0.25">
      <c r="A32" s="12"/>
      <c r="B32" s="12"/>
      <c r="C32" s="12"/>
      <c r="D32" s="12"/>
      <c r="E32" s="12"/>
      <c r="F32" s="12"/>
      <c r="G32" s="12"/>
      <c r="H32" s="18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49"/>
      <c r="U32" s="49"/>
      <c r="V32" s="4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31"/>
      <c r="AI32" s="12"/>
      <c r="AJ32" s="12"/>
      <c r="AK32" s="12"/>
      <c r="AL32" s="12"/>
      <c r="AM32" s="12"/>
      <c r="AN32" s="12"/>
      <c r="AO32" s="12"/>
      <c r="AP32" s="12"/>
    </row>
    <row r="33" spans="1:42" x14ac:dyDescent="0.25">
      <c r="A33" s="56" t="s">
        <v>9</v>
      </c>
      <c r="B33" s="56"/>
      <c r="C33" s="56"/>
      <c r="D33" s="56"/>
      <c r="E33" s="24"/>
      <c r="F33" s="28"/>
      <c r="G33" s="25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4"/>
      <c r="AJ33" s="28"/>
      <c r="AK33" s="25"/>
      <c r="AL33" s="12"/>
      <c r="AM33" s="12"/>
      <c r="AN33" s="26"/>
      <c r="AO33" s="26"/>
      <c r="AP33" s="26"/>
    </row>
    <row r="34" spans="1:42" x14ac:dyDescent="0.25">
      <c r="A34" s="57" t="s">
        <v>10</v>
      </c>
      <c r="B34" s="57"/>
      <c r="C34" s="57"/>
      <c r="D34" s="57"/>
      <c r="E34" s="27"/>
      <c r="F34" s="27"/>
      <c r="G34" s="29"/>
      <c r="H34" s="11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3"/>
      <c r="AI34" s="12"/>
      <c r="AJ34" s="12"/>
      <c r="AK34" s="12"/>
      <c r="AL34" s="31"/>
      <c r="AM34" s="18"/>
      <c r="AN34" s="12"/>
      <c r="AO34" s="12"/>
      <c r="AP34" s="12"/>
    </row>
    <row r="35" spans="1:42" x14ac:dyDescent="0.25">
      <c r="A35" s="47"/>
      <c r="B35" s="47"/>
      <c r="C35" s="47"/>
      <c r="D35" s="47"/>
      <c r="E35" s="23"/>
      <c r="F35" s="23"/>
      <c r="G35" s="30"/>
      <c r="H35" s="14"/>
      <c r="I35" s="15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5"/>
      <c r="AH35" s="16"/>
      <c r="AI35" s="12"/>
      <c r="AJ35" s="12"/>
      <c r="AK35" s="12"/>
      <c r="AL35" s="13"/>
      <c r="AM35" s="11"/>
      <c r="AN35" s="12"/>
      <c r="AO35" s="12"/>
      <c r="AP35" s="12"/>
    </row>
    <row r="36" spans="1:42" x14ac:dyDescent="0.25">
      <c r="A36" s="58" t="s">
        <v>11</v>
      </c>
      <c r="B36" s="58"/>
      <c r="C36" s="58"/>
      <c r="D36" s="58"/>
      <c r="E36" s="12"/>
      <c r="F36" s="12"/>
      <c r="G36" s="12"/>
      <c r="H36" s="12"/>
      <c r="I36" s="13"/>
      <c r="J36" s="11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3"/>
      <c r="AG36" s="12"/>
      <c r="AH36" s="12"/>
      <c r="AI36" s="12"/>
      <c r="AJ36" s="12"/>
      <c r="AK36" s="49">
        <v>2.5</v>
      </c>
      <c r="AL36" s="49"/>
      <c r="AM36" s="49"/>
      <c r="AN36" s="49"/>
      <c r="AO36" s="12"/>
      <c r="AP36" s="12"/>
    </row>
    <row r="37" spans="1:42" x14ac:dyDescent="0.25">
      <c r="A37" s="47"/>
      <c r="B37" s="47"/>
      <c r="C37" s="47"/>
      <c r="D37" s="47"/>
      <c r="E37" s="23"/>
      <c r="F37" s="23"/>
      <c r="G37" s="23"/>
      <c r="H37" s="23"/>
      <c r="I37" s="30"/>
      <c r="J37" s="14"/>
      <c r="K37" s="15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5"/>
      <c r="AF37" s="16"/>
      <c r="AG37" s="12"/>
      <c r="AH37" s="12"/>
      <c r="AI37" s="12"/>
      <c r="AJ37" s="12"/>
      <c r="AK37" s="10"/>
      <c r="AL37" s="34"/>
      <c r="AM37" s="33"/>
      <c r="AN37" s="10"/>
      <c r="AO37" s="12"/>
      <c r="AP37" s="12"/>
    </row>
    <row r="38" spans="1:42" ht="8.25" customHeight="1" x14ac:dyDescent="0.25">
      <c r="A38" s="46" t="s">
        <v>14</v>
      </c>
      <c r="B38" s="46"/>
      <c r="C38" s="46"/>
      <c r="D38" s="46"/>
      <c r="E38" s="12"/>
      <c r="F38" s="12"/>
      <c r="G38" s="12"/>
      <c r="H38" s="12"/>
      <c r="I38" s="12"/>
      <c r="J38" s="12"/>
      <c r="K38" s="12"/>
      <c r="L38" s="11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3"/>
      <c r="AE38" s="12"/>
      <c r="AF38" s="12"/>
      <c r="AG38" s="12"/>
      <c r="AH38" s="12"/>
      <c r="AI38" s="12"/>
      <c r="AJ38" s="12"/>
      <c r="AK38" s="33"/>
      <c r="AL38" s="34"/>
      <c r="AM38" s="33"/>
      <c r="AN38" s="33"/>
      <c r="AO38" s="12"/>
      <c r="AP38" s="12"/>
    </row>
    <row r="39" spans="1:42" ht="9.75" customHeight="1" x14ac:dyDescent="0.25">
      <c r="A39" s="47"/>
      <c r="B39" s="47"/>
      <c r="C39" s="47"/>
      <c r="D39" s="47"/>
      <c r="E39" s="23"/>
      <c r="F39" s="23"/>
      <c r="G39" s="23"/>
      <c r="H39" s="23"/>
      <c r="I39" s="23"/>
      <c r="J39" s="23"/>
      <c r="K39" s="30"/>
      <c r="L39" s="14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6"/>
      <c r="AE39" s="12"/>
      <c r="AF39" s="12"/>
      <c r="AG39" s="12"/>
      <c r="AH39" s="12"/>
      <c r="AI39" s="12"/>
      <c r="AJ39" s="12"/>
      <c r="AK39" s="12"/>
      <c r="AL39" s="16"/>
      <c r="AM39" s="14"/>
      <c r="AN39" s="12"/>
      <c r="AO39" s="12"/>
      <c r="AP39" s="12"/>
    </row>
    <row r="40" spans="1:42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</row>
    <row r="41" spans="1:42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4"/>
      <c r="M41" s="15"/>
      <c r="N41" s="15"/>
      <c r="O41" s="15"/>
      <c r="P41" s="15"/>
      <c r="Q41" s="15"/>
      <c r="R41" s="15"/>
      <c r="S41" s="15"/>
      <c r="T41" s="49">
        <f>T31-4</f>
        <v>26</v>
      </c>
      <c r="U41" s="49"/>
      <c r="V41" s="49"/>
      <c r="W41" s="15"/>
      <c r="X41" s="15"/>
      <c r="Y41" s="15"/>
      <c r="Z41" s="15"/>
      <c r="AA41" s="15"/>
      <c r="AB41" s="15"/>
      <c r="AC41" s="15"/>
      <c r="AD41" s="16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</row>
    <row r="42" spans="1:42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8"/>
      <c r="M42" s="19"/>
      <c r="N42" s="19"/>
      <c r="O42" s="19"/>
      <c r="P42" s="19"/>
      <c r="Q42" s="19"/>
      <c r="R42" s="19"/>
      <c r="S42" s="19"/>
      <c r="T42" s="49"/>
      <c r="U42" s="49"/>
      <c r="V42" s="49"/>
      <c r="W42" s="19"/>
      <c r="X42" s="19"/>
      <c r="Y42" s="19"/>
      <c r="Z42" s="19"/>
      <c r="AA42" s="19"/>
      <c r="AB42" s="19"/>
      <c r="AC42" s="19"/>
      <c r="AD42" s="31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</row>
    <row r="43" spans="1:42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</row>
    <row r="44" spans="1:42" x14ac:dyDescent="0.25">
      <c r="G44" s="12"/>
      <c r="H44" s="12"/>
      <c r="I44" s="12"/>
      <c r="J44" s="12"/>
      <c r="K44" s="12"/>
      <c r="L44" s="12"/>
      <c r="M44" s="12"/>
      <c r="N44" s="12"/>
    </row>
    <row r="45" spans="1:42" x14ac:dyDescent="0.25">
      <c r="A45" s="48" t="s">
        <v>13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</row>
    <row r="46" spans="1:42" x14ac:dyDescent="0.25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</row>
    <row r="47" spans="1:42" x14ac:dyDescent="0.25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</row>
  </sheetData>
  <mergeCells count="72">
    <mergeCell ref="P1:R2"/>
    <mergeCell ref="AB1:AF2"/>
    <mergeCell ref="AG1:AK2"/>
    <mergeCell ref="AL1:AP2"/>
    <mergeCell ref="AB3:AF4"/>
    <mergeCell ref="AG3:AK4"/>
    <mergeCell ref="AL3:AP4"/>
    <mergeCell ref="J4:N4"/>
    <mergeCell ref="O4:S4"/>
    <mergeCell ref="T4:X4"/>
    <mergeCell ref="I5:I8"/>
    <mergeCell ref="J5:N6"/>
    <mergeCell ref="O5:S6"/>
    <mergeCell ref="T5:X6"/>
    <mergeCell ref="AB5:AF6"/>
    <mergeCell ref="AG5:AK6"/>
    <mergeCell ref="AL5:AP6"/>
    <mergeCell ref="J7:N8"/>
    <mergeCell ref="O7:S8"/>
    <mergeCell ref="T7:X8"/>
    <mergeCell ref="AB7:AF8"/>
    <mergeCell ref="AG7:AK8"/>
    <mergeCell ref="AL7:AP8"/>
    <mergeCell ref="I9:I13"/>
    <mergeCell ref="J9:N11"/>
    <mergeCell ref="O9:S11"/>
    <mergeCell ref="T9:X11"/>
    <mergeCell ref="AB9:AF10"/>
    <mergeCell ref="J12:N13"/>
    <mergeCell ref="O12:S13"/>
    <mergeCell ref="T12:X13"/>
    <mergeCell ref="AB13:AP14"/>
    <mergeCell ref="AG9:AK10"/>
    <mergeCell ref="AL9:AP10"/>
    <mergeCell ref="AB11:AF12"/>
    <mergeCell ref="AG11:AK12"/>
    <mergeCell ref="AL11:AP12"/>
    <mergeCell ref="AB23:AP24"/>
    <mergeCell ref="I14:I18"/>
    <mergeCell ref="J14:N16"/>
    <mergeCell ref="O14:S16"/>
    <mergeCell ref="T14:X16"/>
    <mergeCell ref="AB15:AP20"/>
    <mergeCell ref="J17:N18"/>
    <mergeCell ref="O17:S18"/>
    <mergeCell ref="T17:X18"/>
    <mergeCell ref="AB21:AP22"/>
    <mergeCell ref="I24:I28"/>
    <mergeCell ref="J24:N26"/>
    <mergeCell ref="O24:S26"/>
    <mergeCell ref="T24:X26"/>
    <mergeCell ref="AB25:AP26"/>
    <mergeCell ref="J27:N28"/>
    <mergeCell ref="E18:H19"/>
    <mergeCell ref="I19:I23"/>
    <mergeCell ref="J19:N21"/>
    <mergeCell ref="O19:S21"/>
    <mergeCell ref="T19:X21"/>
    <mergeCell ref="J22:N23"/>
    <mergeCell ref="O22:S23"/>
    <mergeCell ref="T22:X23"/>
    <mergeCell ref="O27:S28"/>
    <mergeCell ref="T27:X28"/>
    <mergeCell ref="AB27:AP28"/>
    <mergeCell ref="T41:V42"/>
    <mergeCell ref="A45:AP47"/>
    <mergeCell ref="T31:V32"/>
    <mergeCell ref="A33:D33"/>
    <mergeCell ref="A34:D35"/>
    <mergeCell ref="A36:D37"/>
    <mergeCell ref="AK36:AN36"/>
    <mergeCell ref="A38:D39"/>
  </mergeCells>
  <pageMargins left="0.7" right="0.7" top="0.75" bottom="0.75" header="0.3" footer="0.3"/>
  <pageSetup paperSize="9" scale="76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A40D1-6256-49A1-A978-5ED159C13238}">
  <sheetPr>
    <pageSetUpPr fitToPage="1"/>
  </sheetPr>
  <dimension ref="A1:AX47"/>
  <sheetViews>
    <sheetView workbookViewId="0">
      <selection activeCell="BA20" sqref="BA20"/>
    </sheetView>
  </sheetViews>
  <sheetFormatPr defaultColWidth="2.7109375" defaultRowHeight="15" x14ac:dyDescent="0.25"/>
  <cols>
    <col min="1" max="8" width="2.7109375" style="1"/>
    <col min="9" max="9" width="2.7109375" style="1" customWidth="1"/>
    <col min="10" max="16384" width="2.7109375" style="1"/>
  </cols>
  <sheetData>
    <row r="1" spans="6:50" x14ac:dyDescent="0.25">
      <c r="J1" s="7"/>
      <c r="K1" s="8"/>
      <c r="L1" s="8"/>
      <c r="M1" s="8"/>
      <c r="N1" s="8"/>
      <c r="O1" s="8"/>
      <c r="P1" s="8"/>
      <c r="Q1" s="8"/>
      <c r="R1" s="8"/>
      <c r="S1" s="8"/>
      <c r="T1" s="8"/>
      <c r="U1" s="49">
        <f>SUM(J4:AF4)</f>
        <v>45</v>
      </c>
      <c r="V1" s="49"/>
      <c r="W1" s="49"/>
      <c r="X1" s="8"/>
      <c r="Y1" s="8"/>
      <c r="Z1" s="8"/>
      <c r="AA1" s="8"/>
      <c r="AB1" s="8"/>
      <c r="AC1" s="8"/>
      <c r="AD1" s="8"/>
      <c r="AE1" s="8"/>
      <c r="AF1" s="9"/>
      <c r="AJ1" s="83" t="s">
        <v>0</v>
      </c>
      <c r="AK1" s="83"/>
      <c r="AL1" s="83"/>
      <c r="AM1" s="83"/>
      <c r="AN1" s="83"/>
      <c r="AO1" s="83" t="s">
        <v>1</v>
      </c>
      <c r="AP1" s="83"/>
      <c r="AQ1" s="83"/>
      <c r="AR1" s="83"/>
      <c r="AS1" s="83"/>
      <c r="AT1" s="83" t="s">
        <v>2</v>
      </c>
      <c r="AU1" s="83"/>
      <c r="AV1" s="83"/>
      <c r="AW1" s="83"/>
      <c r="AX1" s="83"/>
    </row>
    <row r="2" spans="6:50" x14ac:dyDescent="0.25">
      <c r="J2" s="2"/>
      <c r="K2" s="3"/>
      <c r="L2" s="3"/>
      <c r="M2" s="3"/>
      <c r="N2" s="3"/>
      <c r="O2" s="3"/>
      <c r="P2" s="3"/>
      <c r="Q2" s="3"/>
      <c r="R2" s="3"/>
      <c r="S2" s="3"/>
      <c r="T2" s="3"/>
      <c r="U2" s="49"/>
      <c r="V2" s="49"/>
      <c r="W2" s="49"/>
      <c r="X2" s="3"/>
      <c r="Y2" s="3"/>
      <c r="Z2" s="3"/>
      <c r="AA2" s="3"/>
      <c r="AB2" s="3"/>
      <c r="AC2" s="3"/>
      <c r="AD2" s="3"/>
      <c r="AE2" s="3"/>
      <c r="AF2" s="4"/>
      <c r="AH2" s="12"/>
      <c r="AI2" s="12"/>
      <c r="AJ2" s="83"/>
      <c r="AK2" s="83"/>
      <c r="AL2" s="83"/>
      <c r="AM2" s="83"/>
      <c r="AN2" s="83"/>
      <c r="AO2" s="83"/>
      <c r="AP2" s="83"/>
      <c r="AQ2" s="83"/>
      <c r="AR2" s="83"/>
      <c r="AS2" s="83"/>
      <c r="AT2" s="83"/>
      <c r="AU2" s="83"/>
      <c r="AV2" s="83"/>
      <c r="AW2" s="83"/>
      <c r="AX2" s="83"/>
    </row>
    <row r="3" spans="6:50" x14ac:dyDescent="0.25">
      <c r="AH3" s="12"/>
      <c r="AI3" s="12"/>
      <c r="AJ3" s="80" t="s">
        <v>37</v>
      </c>
      <c r="AK3" s="80"/>
      <c r="AL3" s="80"/>
      <c r="AM3" s="80"/>
      <c r="AN3" s="80"/>
      <c r="AO3" s="81">
        <f>SUM(J5+O5+T5+Y5)/4</f>
        <v>98.847499999999997</v>
      </c>
      <c r="AP3" s="81"/>
      <c r="AQ3" s="81"/>
      <c r="AR3" s="81"/>
      <c r="AS3" s="81"/>
      <c r="AT3" s="81">
        <f>100-AO3</f>
        <v>1.1525000000000034</v>
      </c>
      <c r="AU3" s="81"/>
      <c r="AV3" s="81"/>
      <c r="AW3" s="81"/>
      <c r="AX3" s="81"/>
    </row>
    <row r="4" spans="6:50" x14ac:dyDescent="0.25">
      <c r="J4" s="82">
        <v>10</v>
      </c>
      <c r="K4" s="82"/>
      <c r="L4" s="82"/>
      <c r="M4" s="82"/>
      <c r="N4" s="82"/>
      <c r="O4" s="82">
        <v>10</v>
      </c>
      <c r="P4" s="82"/>
      <c r="Q4" s="82"/>
      <c r="R4" s="82"/>
      <c r="S4" s="82"/>
      <c r="T4" s="82">
        <v>10</v>
      </c>
      <c r="U4" s="82"/>
      <c r="V4" s="82"/>
      <c r="W4" s="82"/>
      <c r="X4" s="82"/>
      <c r="Y4" s="82">
        <v>10</v>
      </c>
      <c r="Z4" s="82"/>
      <c r="AA4" s="82"/>
      <c r="AB4" s="82"/>
      <c r="AC4" s="82"/>
      <c r="AD4" s="82">
        <v>5</v>
      </c>
      <c r="AE4" s="82"/>
      <c r="AF4" s="82"/>
      <c r="AH4" s="12"/>
      <c r="AI4" s="12"/>
      <c r="AJ4" s="80"/>
      <c r="AK4" s="80"/>
      <c r="AL4" s="80"/>
      <c r="AM4" s="80"/>
      <c r="AN4" s="80"/>
      <c r="AO4" s="81"/>
      <c r="AP4" s="81"/>
      <c r="AQ4" s="81"/>
      <c r="AR4" s="81"/>
      <c r="AS4" s="81"/>
      <c r="AT4" s="81"/>
      <c r="AU4" s="81"/>
      <c r="AV4" s="81"/>
      <c r="AW4" s="81"/>
      <c r="AX4" s="81"/>
    </row>
    <row r="5" spans="6:50" x14ac:dyDescent="0.25">
      <c r="F5" s="4"/>
      <c r="G5" s="2"/>
      <c r="I5" s="59">
        <v>7</v>
      </c>
      <c r="J5" s="60">
        <f>100-1.15</f>
        <v>98.85</v>
      </c>
      <c r="K5" s="61"/>
      <c r="L5" s="61"/>
      <c r="M5" s="61"/>
      <c r="N5" s="62"/>
      <c r="O5" s="60">
        <f>100-1.1</f>
        <v>98.9</v>
      </c>
      <c r="P5" s="61"/>
      <c r="Q5" s="61"/>
      <c r="R5" s="61"/>
      <c r="S5" s="62"/>
      <c r="T5" s="60">
        <f>100-1.18</f>
        <v>98.82</v>
      </c>
      <c r="U5" s="61"/>
      <c r="V5" s="61"/>
      <c r="W5" s="61"/>
      <c r="X5" s="62"/>
      <c r="Y5" s="60">
        <f>100-1.18</f>
        <v>98.82</v>
      </c>
      <c r="Z5" s="61"/>
      <c r="AA5" s="61"/>
      <c r="AB5" s="61"/>
      <c r="AC5" s="62"/>
      <c r="AD5" s="60">
        <f>100-1</f>
        <v>99</v>
      </c>
      <c r="AE5" s="61"/>
      <c r="AF5" s="62"/>
      <c r="AH5" s="12"/>
      <c r="AI5" s="12"/>
      <c r="AJ5" s="80" t="s">
        <v>38</v>
      </c>
      <c r="AK5" s="80"/>
      <c r="AL5" s="80"/>
      <c r="AM5" s="80"/>
      <c r="AN5" s="80"/>
      <c r="AO5" s="81">
        <f>AD5</f>
        <v>99</v>
      </c>
      <c r="AP5" s="81"/>
      <c r="AQ5" s="81"/>
      <c r="AR5" s="81"/>
      <c r="AS5" s="81"/>
      <c r="AT5" s="81">
        <f t="shared" ref="AT5" si="0">100-AO5</f>
        <v>1</v>
      </c>
      <c r="AU5" s="81"/>
      <c r="AV5" s="81"/>
      <c r="AW5" s="81"/>
      <c r="AX5" s="81"/>
    </row>
    <row r="6" spans="6:50" ht="15" customHeight="1" x14ac:dyDescent="0.25">
      <c r="F6" s="6"/>
      <c r="G6" s="5"/>
      <c r="I6" s="59"/>
      <c r="J6" s="63"/>
      <c r="K6" s="49"/>
      <c r="L6" s="49"/>
      <c r="M6" s="49"/>
      <c r="N6" s="64"/>
      <c r="O6" s="63"/>
      <c r="P6" s="49"/>
      <c r="Q6" s="49"/>
      <c r="R6" s="49"/>
      <c r="S6" s="64"/>
      <c r="T6" s="63"/>
      <c r="U6" s="49"/>
      <c r="V6" s="49"/>
      <c r="W6" s="49"/>
      <c r="X6" s="64"/>
      <c r="Y6" s="63"/>
      <c r="Z6" s="49"/>
      <c r="AA6" s="49"/>
      <c r="AB6" s="49"/>
      <c r="AC6" s="64"/>
      <c r="AD6" s="63"/>
      <c r="AE6" s="49"/>
      <c r="AF6" s="64"/>
      <c r="AH6" s="12"/>
      <c r="AI6" s="12"/>
      <c r="AJ6" s="80"/>
      <c r="AK6" s="80"/>
      <c r="AL6" s="80"/>
      <c r="AM6" s="80"/>
      <c r="AN6" s="80"/>
      <c r="AO6" s="81"/>
      <c r="AP6" s="81"/>
      <c r="AQ6" s="81"/>
      <c r="AR6" s="81"/>
      <c r="AS6" s="81"/>
      <c r="AT6" s="81"/>
      <c r="AU6" s="81"/>
      <c r="AV6" s="81"/>
      <c r="AW6" s="81"/>
      <c r="AX6" s="81"/>
    </row>
    <row r="7" spans="6:50" ht="15" customHeight="1" x14ac:dyDescent="0.25">
      <c r="F7" s="6"/>
      <c r="G7" s="5"/>
      <c r="I7" s="59"/>
      <c r="J7" s="65">
        <v>1</v>
      </c>
      <c r="K7" s="66"/>
      <c r="L7" s="66"/>
      <c r="M7" s="66"/>
      <c r="N7" s="67"/>
      <c r="O7" s="65">
        <v>2</v>
      </c>
      <c r="P7" s="66"/>
      <c r="Q7" s="66"/>
      <c r="R7" s="66"/>
      <c r="S7" s="67"/>
      <c r="T7" s="65">
        <v>3</v>
      </c>
      <c r="U7" s="66"/>
      <c r="V7" s="66"/>
      <c r="W7" s="66"/>
      <c r="X7" s="67"/>
      <c r="Y7" s="65">
        <v>4</v>
      </c>
      <c r="Z7" s="66"/>
      <c r="AA7" s="66"/>
      <c r="AB7" s="66"/>
      <c r="AC7" s="67"/>
      <c r="AD7" s="65">
        <v>5</v>
      </c>
      <c r="AE7" s="66"/>
      <c r="AF7" s="67"/>
      <c r="AH7" s="12"/>
      <c r="AI7" s="12"/>
      <c r="AJ7" s="80" t="s">
        <v>39</v>
      </c>
      <c r="AK7" s="80"/>
      <c r="AL7" s="80"/>
      <c r="AM7" s="80"/>
      <c r="AN7" s="80"/>
      <c r="AO7" s="81">
        <f>SUM(AD9+AD14+AD19+AD24)/4</f>
        <v>98.902499999999989</v>
      </c>
      <c r="AP7" s="81"/>
      <c r="AQ7" s="81"/>
      <c r="AR7" s="81"/>
      <c r="AS7" s="81"/>
      <c r="AT7" s="81">
        <f t="shared" ref="AT7" si="1">100-AO7</f>
        <v>1.0975000000000108</v>
      </c>
      <c r="AU7" s="81"/>
      <c r="AV7" s="81"/>
      <c r="AW7" s="81"/>
      <c r="AX7" s="81"/>
    </row>
    <row r="8" spans="6:50" x14ac:dyDescent="0.25">
      <c r="F8" s="6"/>
      <c r="G8" s="5"/>
      <c r="I8" s="59"/>
      <c r="J8" s="68"/>
      <c r="K8" s="69"/>
      <c r="L8" s="69"/>
      <c r="M8" s="69"/>
      <c r="N8" s="70"/>
      <c r="O8" s="68"/>
      <c r="P8" s="69"/>
      <c r="Q8" s="69"/>
      <c r="R8" s="69"/>
      <c r="S8" s="70"/>
      <c r="T8" s="68"/>
      <c r="U8" s="69"/>
      <c r="V8" s="69"/>
      <c r="W8" s="69"/>
      <c r="X8" s="70"/>
      <c r="Y8" s="68"/>
      <c r="Z8" s="69"/>
      <c r="AA8" s="69"/>
      <c r="AB8" s="69"/>
      <c r="AC8" s="70"/>
      <c r="AD8" s="68"/>
      <c r="AE8" s="69"/>
      <c r="AF8" s="70"/>
      <c r="AH8" s="12"/>
      <c r="AI8" s="12"/>
      <c r="AJ8" s="80"/>
      <c r="AK8" s="80"/>
      <c r="AL8" s="80"/>
      <c r="AM8" s="80"/>
      <c r="AN8" s="80"/>
      <c r="AO8" s="81"/>
      <c r="AP8" s="81"/>
      <c r="AQ8" s="81"/>
      <c r="AR8" s="81"/>
      <c r="AS8" s="81"/>
      <c r="AT8" s="81"/>
      <c r="AU8" s="81"/>
      <c r="AV8" s="81"/>
      <c r="AW8" s="81"/>
      <c r="AX8" s="81"/>
    </row>
    <row r="9" spans="6:50" ht="15" customHeight="1" x14ac:dyDescent="0.25">
      <c r="F9" s="6"/>
      <c r="G9" s="5"/>
      <c r="I9" s="59">
        <v>10</v>
      </c>
      <c r="J9" s="60">
        <f>100-1.18</f>
        <v>98.82</v>
      </c>
      <c r="K9" s="61"/>
      <c r="L9" s="61"/>
      <c r="M9" s="61"/>
      <c r="N9" s="62"/>
      <c r="O9" s="60">
        <f>SUM(J9+J5+O5)/3-0.28</f>
        <v>98.576666666666668</v>
      </c>
      <c r="P9" s="61"/>
      <c r="Q9" s="61"/>
      <c r="R9" s="61"/>
      <c r="S9" s="62"/>
      <c r="T9" s="60">
        <f>T5-0.25</f>
        <v>98.57</v>
      </c>
      <c r="U9" s="61"/>
      <c r="V9" s="61"/>
      <c r="W9" s="61"/>
      <c r="X9" s="62"/>
      <c r="Y9" s="60">
        <f>SUM(Y5+AD5+AD9)/3-0.26</f>
        <v>98.663333333333327</v>
      </c>
      <c r="Z9" s="61"/>
      <c r="AA9" s="61"/>
      <c r="AB9" s="61"/>
      <c r="AC9" s="62"/>
      <c r="AD9" s="60">
        <f>100-1.05</f>
        <v>98.95</v>
      </c>
      <c r="AE9" s="61"/>
      <c r="AF9" s="62"/>
      <c r="AH9" s="12"/>
      <c r="AI9" s="12"/>
      <c r="AJ9" s="80" t="s">
        <v>40</v>
      </c>
      <c r="AK9" s="80"/>
      <c r="AL9" s="80"/>
      <c r="AM9" s="80"/>
      <c r="AN9" s="80"/>
      <c r="AO9" s="81">
        <f>SUM(Y24+T24+O24+J24+J19+J14+J9)/7</f>
        <v>98.891428571428577</v>
      </c>
      <c r="AP9" s="81"/>
      <c r="AQ9" s="81"/>
      <c r="AR9" s="81"/>
      <c r="AS9" s="81"/>
      <c r="AT9" s="81">
        <f t="shared" ref="AT9" si="2">100-AO9</f>
        <v>1.1085714285714232</v>
      </c>
      <c r="AU9" s="81"/>
      <c r="AV9" s="81"/>
      <c r="AW9" s="81"/>
      <c r="AX9" s="81"/>
    </row>
    <row r="10" spans="6:50" x14ac:dyDescent="0.25">
      <c r="F10" s="6"/>
      <c r="G10" s="5"/>
      <c r="I10" s="59"/>
      <c r="J10" s="63"/>
      <c r="K10" s="49"/>
      <c r="L10" s="49"/>
      <c r="M10" s="49"/>
      <c r="N10" s="64"/>
      <c r="O10" s="63"/>
      <c r="P10" s="49"/>
      <c r="Q10" s="49"/>
      <c r="R10" s="49"/>
      <c r="S10" s="64"/>
      <c r="T10" s="63"/>
      <c r="U10" s="49"/>
      <c r="V10" s="49"/>
      <c r="W10" s="49"/>
      <c r="X10" s="64"/>
      <c r="Y10" s="63"/>
      <c r="Z10" s="49"/>
      <c r="AA10" s="49"/>
      <c r="AB10" s="49"/>
      <c r="AC10" s="64"/>
      <c r="AD10" s="63"/>
      <c r="AE10" s="49"/>
      <c r="AF10" s="64"/>
      <c r="AH10" s="12"/>
      <c r="AI10" s="12"/>
      <c r="AJ10" s="80"/>
      <c r="AK10" s="80"/>
      <c r="AL10" s="80"/>
      <c r="AM10" s="80"/>
      <c r="AN10" s="80"/>
      <c r="AO10" s="81"/>
      <c r="AP10" s="81"/>
      <c r="AQ10" s="81"/>
      <c r="AR10" s="81"/>
      <c r="AS10" s="81"/>
      <c r="AT10" s="81"/>
      <c r="AU10" s="81"/>
      <c r="AV10" s="81"/>
      <c r="AW10" s="81"/>
      <c r="AX10" s="81"/>
    </row>
    <row r="11" spans="6:50" x14ac:dyDescent="0.25">
      <c r="F11" s="6"/>
      <c r="G11" s="5"/>
      <c r="I11" s="59"/>
      <c r="J11" s="63"/>
      <c r="K11" s="49"/>
      <c r="L11" s="49"/>
      <c r="M11" s="49"/>
      <c r="N11" s="64"/>
      <c r="O11" s="63"/>
      <c r="P11" s="49"/>
      <c r="Q11" s="49"/>
      <c r="R11" s="49"/>
      <c r="S11" s="64"/>
      <c r="T11" s="63"/>
      <c r="U11" s="49"/>
      <c r="V11" s="49"/>
      <c r="W11" s="49"/>
      <c r="X11" s="64"/>
      <c r="Y11" s="63"/>
      <c r="Z11" s="49"/>
      <c r="AA11" s="49"/>
      <c r="AB11" s="49"/>
      <c r="AC11" s="64"/>
      <c r="AD11" s="63"/>
      <c r="AE11" s="49"/>
      <c r="AF11" s="64"/>
      <c r="AH11" s="12"/>
      <c r="AI11" s="12"/>
      <c r="AJ11" s="80" t="s">
        <v>41</v>
      </c>
      <c r="AK11" s="80"/>
      <c r="AL11" s="80"/>
      <c r="AM11" s="80"/>
      <c r="AN11" s="80"/>
      <c r="AO11" s="81">
        <f>SUM(O9+T9+Y9+Y14+Y19+T19+O19+O14+T14)/9</f>
        <v>98.629629629629619</v>
      </c>
      <c r="AP11" s="81"/>
      <c r="AQ11" s="81"/>
      <c r="AR11" s="81"/>
      <c r="AS11" s="81"/>
      <c r="AT11" s="81">
        <f t="shared" ref="AT11" si="3">100-AO11</f>
        <v>1.3703703703703809</v>
      </c>
      <c r="AU11" s="81"/>
      <c r="AV11" s="81"/>
      <c r="AW11" s="81"/>
      <c r="AX11" s="81"/>
    </row>
    <row r="12" spans="6:50" x14ac:dyDescent="0.25">
      <c r="F12" s="6"/>
      <c r="G12" s="5"/>
      <c r="I12" s="59"/>
      <c r="J12" s="65">
        <v>16</v>
      </c>
      <c r="K12" s="66"/>
      <c r="L12" s="66"/>
      <c r="M12" s="66"/>
      <c r="N12" s="67"/>
      <c r="O12" s="65">
        <v>17</v>
      </c>
      <c r="P12" s="66"/>
      <c r="Q12" s="66"/>
      <c r="R12" s="66"/>
      <c r="S12" s="67"/>
      <c r="T12" s="65">
        <v>18</v>
      </c>
      <c r="U12" s="66"/>
      <c r="V12" s="66"/>
      <c r="W12" s="66"/>
      <c r="X12" s="67"/>
      <c r="Y12" s="65">
        <v>19</v>
      </c>
      <c r="Z12" s="66"/>
      <c r="AA12" s="66"/>
      <c r="AB12" s="66"/>
      <c r="AC12" s="67"/>
      <c r="AD12" s="65">
        <v>6</v>
      </c>
      <c r="AE12" s="66"/>
      <c r="AF12" s="67"/>
      <c r="AH12" s="12"/>
      <c r="AI12" s="12"/>
      <c r="AJ12" s="80"/>
      <c r="AK12" s="80"/>
      <c r="AL12" s="80"/>
      <c r="AM12" s="80"/>
      <c r="AN12" s="80"/>
      <c r="AO12" s="81"/>
      <c r="AP12" s="81"/>
      <c r="AQ12" s="81"/>
      <c r="AR12" s="81"/>
      <c r="AS12" s="81"/>
      <c r="AT12" s="81"/>
      <c r="AU12" s="81"/>
      <c r="AV12" s="81"/>
      <c r="AW12" s="81"/>
      <c r="AX12" s="81"/>
    </row>
    <row r="13" spans="6:50" x14ac:dyDescent="0.25">
      <c r="F13" s="6"/>
      <c r="G13" s="5"/>
      <c r="I13" s="59"/>
      <c r="J13" s="68"/>
      <c r="K13" s="69"/>
      <c r="L13" s="69"/>
      <c r="M13" s="69"/>
      <c r="N13" s="70"/>
      <c r="O13" s="68"/>
      <c r="P13" s="69"/>
      <c r="Q13" s="69"/>
      <c r="R13" s="69"/>
      <c r="S13" s="70"/>
      <c r="T13" s="68"/>
      <c r="U13" s="69"/>
      <c r="V13" s="69"/>
      <c r="W13" s="69"/>
      <c r="X13" s="70"/>
      <c r="Y13" s="68"/>
      <c r="Z13" s="69"/>
      <c r="AA13" s="69"/>
      <c r="AB13" s="69"/>
      <c r="AC13" s="70"/>
      <c r="AD13" s="68"/>
      <c r="AE13" s="69"/>
      <c r="AF13" s="70"/>
      <c r="AH13" s="12"/>
      <c r="AI13" s="12"/>
      <c r="AJ13" s="95"/>
      <c r="AK13" s="96"/>
      <c r="AL13" s="96"/>
      <c r="AM13" s="96"/>
      <c r="AN13" s="96"/>
      <c r="AO13" s="96"/>
      <c r="AP13" s="96"/>
      <c r="AQ13" s="96"/>
      <c r="AR13" s="96"/>
      <c r="AS13" s="96"/>
      <c r="AT13" s="96"/>
      <c r="AU13" s="96"/>
      <c r="AV13" s="96"/>
      <c r="AW13" s="96"/>
      <c r="AX13" s="97"/>
    </row>
    <row r="14" spans="6:50" x14ac:dyDescent="0.25">
      <c r="F14" s="6"/>
      <c r="G14" s="5"/>
      <c r="I14" s="59">
        <v>10</v>
      </c>
      <c r="J14" s="60">
        <f>100-1.11</f>
        <v>98.89</v>
      </c>
      <c r="K14" s="61"/>
      <c r="L14" s="61"/>
      <c r="M14" s="61"/>
      <c r="N14" s="62"/>
      <c r="O14" s="60">
        <f>J14-0.2</f>
        <v>98.69</v>
      </c>
      <c r="P14" s="61"/>
      <c r="Q14" s="61"/>
      <c r="R14" s="61"/>
      <c r="S14" s="62"/>
      <c r="T14" s="60">
        <f>T5-0.25</f>
        <v>98.57</v>
      </c>
      <c r="U14" s="61"/>
      <c r="V14" s="61"/>
      <c r="W14" s="61"/>
      <c r="X14" s="62"/>
      <c r="Y14" s="60">
        <f>AD14-0.18</f>
        <v>98.77</v>
      </c>
      <c r="Z14" s="61"/>
      <c r="AA14" s="61"/>
      <c r="AB14" s="61"/>
      <c r="AC14" s="62"/>
      <c r="AD14" s="60">
        <f>100-1.05</f>
        <v>98.95</v>
      </c>
      <c r="AE14" s="61"/>
      <c r="AF14" s="62"/>
      <c r="AH14" s="12"/>
      <c r="AI14" s="12"/>
      <c r="AJ14" s="98"/>
      <c r="AK14" s="99"/>
      <c r="AL14" s="99"/>
      <c r="AM14" s="99"/>
      <c r="AN14" s="99"/>
      <c r="AO14" s="99"/>
      <c r="AP14" s="99"/>
      <c r="AQ14" s="99"/>
      <c r="AR14" s="99"/>
      <c r="AS14" s="99"/>
      <c r="AT14" s="99"/>
      <c r="AU14" s="99"/>
      <c r="AV14" s="99"/>
      <c r="AW14" s="99"/>
      <c r="AX14" s="100"/>
    </row>
    <row r="15" spans="6:50" x14ac:dyDescent="0.25">
      <c r="F15" s="6"/>
      <c r="G15" s="5"/>
      <c r="I15" s="59"/>
      <c r="J15" s="63"/>
      <c r="K15" s="49"/>
      <c r="L15" s="49"/>
      <c r="M15" s="49"/>
      <c r="N15" s="64"/>
      <c r="O15" s="63"/>
      <c r="P15" s="49"/>
      <c r="Q15" s="49"/>
      <c r="R15" s="49"/>
      <c r="S15" s="64"/>
      <c r="T15" s="63"/>
      <c r="U15" s="49"/>
      <c r="V15" s="49"/>
      <c r="W15" s="49"/>
      <c r="X15" s="64"/>
      <c r="Y15" s="63"/>
      <c r="Z15" s="49"/>
      <c r="AA15" s="49"/>
      <c r="AB15" s="49"/>
      <c r="AC15" s="64"/>
      <c r="AD15" s="63"/>
      <c r="AE15" s="49"/>
      <c r="AF15" s="64"/>
      <c r="AH15" s="12"/>
      <c r="AI15" s="12"/>
      <c r="AJ15" s="115" t="s">
        <v>42</v>
      </c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3"/>
    </row>
    <row r="16" spans="6:50" x14ac:dyDescent="0.25">
      <c r="F16" s="6"/>
      <c r="G16" s="5"/>
      <c r="I16" s="59"/>
      <c r="J16" s="63"/>
      <c r="K16" s="49"/>
      <c r="L16" s="49"/>
      <c r="M16" s="49"/>
      <c r="N16" s="64"/>
      <c r="O16" s="63"/>
      <c r="P16" s="49"/>
      <c r="Q16" s="49"/>
      <c r="R16" s="49"/>
      <c r="S16" s="64"/>
      <c r="T16" s="63"/>
      <c r="U16" s="49"/>
      <c r="V16" s="49"/>
      <c r="W16" s="49"/>
      <c r="X16" s="64"/>
      <c r="Y16" s="63"/>
      <c r="Z16" s="49"/>
      <c r="AA16" s="49"/>
      <c r="AB16" s="49"/>
      <c r="AC16" s="64"/>
      <c r="AD16" s="63"/>
      <c r="AE16" s="49"/>
      <c r="AF16" s="64"/>
      <c r="AH16" s="12"/>
      <c r="AI16" s="12"/>
      <c r="AJ16" s="74"/>
      <c r="AK16" s="75"/>
      <c r="AL16" s="75"/>
      <c r="AM16" s="75"/>
      <c r="AN16" s="75"/>
      <c r="AO16" s="75"/>
      <c r="AP16" s="75"/>
      <c r="AQ16" s="75"/>
      <c r="AR16" s="75"/>
      <c r="AS16" s="75"/>
      <c r="AT16" s="75"/>
      <c r="AU16" s="75"/>
      <c r="AV16" s="75"/>
      <c r="AW16" s="75"/>
      <c r="AX16" s="76"/>
    </row>
    <row r="17" spans="1:50" x14ac:dyDescent="0.25">
      <c r="F17" s="6"/>
      <c r="G17" s="5"/>
      <c r="I17" s="59"/>
      <c r="J17" s="65">
        <v>15</v>
      </c>
      <c r="K17" s="66"/>
      <c r="L17" s="66"/>
      <c r="M17" s="66"/>
      <c r="N17" s="67"/>
      <c r="O17" s="65">
        <v>24</v>
      </c>
      <c r="P17" s="66"/>
      <c r="Q17" s="66"/>
      <c r="R17" s="66"/>
      <c r="S17" s="67"/>
      <c r="T17" s="65">
        <v>25</v>
      </c>
      <c r="U17" s="66"/>
      <c r="V17" s="66"/>
      <c r="W17" s="66"/>
      <c r="X17" s="67"/>
      <c r="Y17" s="65">
        <v>20</v>
      </c>
      <c r="Z17" s="66"/>
      <c r="AA17" s="66"/>
      <c r="AB17" s="66"/>
      <c r="AC17" s="67"/>
      <c r="AD17" s="65">
        <v>7</v>
      </c>
      <c r="AE17" s="66"/>
      <c r="AF17" s="67"/>
      <c r="AH17" s="12"/>
      <c r="AI17" s="12"/>
      <c r="AJ17" s="74"/>
      <c r="AK17" s="75"/>
      <c r="AL17" s="75"/>
      <c r="AM17" s="75"/>
      <c r="AN17" s="75"/>
      <c r="AO17" s="75"/>
      <c r="AP17" s="75"/>
      <c r="AQ17" s="75"/>
      <c r="AR17" s="75"/>
      <c r="AS17" s="75"/>
      <c r="AT17" s="75"/>
      <c r="AU17" s="75"/>
      <c r="AV17" s="75"/>
      <c r="AW17" s="75"/>
      <c r="AX17" s="76"/>
    </row>
    <row r="18" spans="1:50" x14ac:dyDescent="0.25">
      <c r="E18" s="49">
        <f>SUM(I5:I28)</f>
        <v>47</v>
      </c>
      <c r="F18" s="49"/>
      <c r="G18" s="49"/>
      <c r="H18" s="49"/>
      <c r="I18" s="59"/>
      <c r="J18" s="68"/>
      <c r="K18" s="69"/>
      <c r="L18" s="69"/>
      <c r="M18" s="69"/>
      <c r="N18" s="70"/>
      <c r="O18" s="68"/>
      <c r="P18" s="69"/>
      <c r="Q18" s="69"/>
      <c r="R18" s="69"/>
      <c r="S18" s="70"/>
      <c r="T18" s="68"/>
      <c r="U18" s="69"/>
      <c r="V18" s="69"/>
      <c r="W18" s="69"/>
      <c r="X18" s="70"/>
      <c r="Y18" s="68"/>
      <c r="Z18" s="69"/>
      <c r="AA18" s="69"/>
      <c r="AB18" s="69"/>
      <c r="AC18" s="70"/>
      <c r="AD18" s="68"/>
      <c r="AE18" s="69"/>
      <c r="AF18" s="70"/>
      <c r="AH18" s="12"/>
      <c r="AI18" s="12"/>
      <c r="AJ18" s="74"/>
      <c r="AK18" s="75"/>
      <c r="AL18" s="75"/>
      <c r="AM18" s="75"/>
      <c r="AN18" s="75"/>
      <c r="AO18" s="75"/>
      <c r="AP18" s="75"/>
      <c r="AQ18" s="75"/>
      <c r="AR18" s="75"/>
      <c r="AS18" s="75"/>
      <c r="AT18" s="75"/>
      <c r="AU18" s="75"/>
      <c r="AV18" s="75"/>
      <c r="AW18" s="75"/>
      <c r="AX18" s="76"/>
    </row>
    <row r="19" spans="1:50" x14ac:dyDescent="0.25">
      <c r="E19" s="49"/>
      <c r="F19" s="49"/>
      <c r="G19" s="49"/>
      <c r="H19" s="49"/>
      <c r="I19" s="59">
        <v>10</v>
      </c>
      <c r="J19" s="60">
        <f>100-0.93</f>
        <v>99.07</v>
      </c>
      <c r="K19" s="61"/>
      <c r="L19" s="61"/>
      <c r="M19" s="61"/>
      <c r="N19" s="62"/>
      <c r="O19" s="60">
        <f>SUM(O24+J24+J19)/3-0.28</f>
        <v>98.64</v>
      </c>
      <c r="P19" s="61"/>
      <c r="Q19" s="61"/>
      <c r="R19" s="61"/>
      <c r="S19" s="62"/>
      <c r="T19" s="60">
        <f>T24-0.26</f>
        <v>98.589999999999989</v>
      </c>
      <c r="U19" s="61"/>
      <c r="V19" s="61"/>
      <c r="W19" s="61"/>
      <c r="X19" s="62"/>
      <c r="Y19" s="60">
        <f>SUM(Y24+AD24+AD19)/3-0.28</f>
        <v>98.596666666666664</v>
      </c>
      <c r="Z19" s="61"/>
      <c r="AA19" s="61"/>
      <c r="AB19" s="61"/>
      <c r="AC19" s="62"/>
      <c r="AD19" s="60">
        <f>100-1.12</f>
        <v>98.88</v>
      </c>
      <c r="AE19" s="61"/>
      <c r="AF19" s="62"/>
      <c r="AH19" s="12"/>
      <c r="AI19" s="12"/>
      <c r="AJ19" s="74"/>
      <c r="AK19" s="75"/>
      <c r="AL19" s="75"/>
      <c r="AM19" s="75"/>
      <c r="AN19" s="75"/>
      <c r="AO19" s="75"/>
      <c r="AP19" s="75"/>
      <c r="AQ19" s="75"/>
      <c r="AR19" s="75"/>
      <c r="AS19" s="75"/>
      <c r="AT19" s="75"/>
      <c r="AU19" s="75"/>
      <c r="AV19" s="75"/>
      <c r="AW19" s="75"/>
      <c r="AX19" s="76"/>
    </row>
    <row r="20" spans="1:50" x14ac:dyDescent="0.25">
      <c r="F20" s="6"/>
      <c r="G20" s="5"/>
      <c r="I20" s="59"/>
      <c r="J20" s="63"/>
      <c r="K20" s="49"/>
      <c r="L20" s="49"/>
      <c r="M20" s="49"/>
      <c r="N20" s="64"/>
      <c r="O20" s="63"/>
      <c r="P20" s="49"/>
      <c r="Q20" s="49"/>
      <c r="R20" s="49"/>
      <c r="S20" s="64"/>
      <c r="T20" s="63"/>
      <c r="U20" s="49"/>
      <c r="V20" s="49"/>
      <c r="W20" s="49"/>
      <c r="X20" s="64"/>
      <c r="Y20" s="63"/>
      <c r="Z20" s="49"/>
      <c r="AA20" s="49"/>
      <c r="AB20" s="49"/>
      <c r="AC20" s="64"/>
      <c r="AD20" s="63"/>
      <c r="AE20" s="49"/>
      <c r="AF20" s="64"/>
      <c r="AH20" s="12"/>
      <c r="AI20" s="12"/>
      <c r="AJ20" s="77"/>
      <c r="AK20" s="78"/>
      <c r="AL20" s="78"/>
      <c r="AM20" s="78"/>
      <c r="AN20" s="78"/>
      <c r="AO20" s="78"/>
      <c r="AP20" s="78"/>
      <c r="AQ20" s="78"/>
      <c r="AR20" s="78"/>
      <c r="AS20" s="78"/>
      <c r="AT20" s="78"/>
      <c r="AU20" s="78"/>
      <c r="AV20" s="78"/>
      <c r="AW20" s="78"/>
      <c r="AX20" s="79"/>
    </row>
    <row r="21" spans="1:50" x14ac:dyDescent="0.25">
      <c r="E21" s="10"/>
      <c r="F21" s="6"/>
      <c r="G21" s="5"/>
      <c r="H21" s="12"/>
      <c r="I21" s="59"/>
      <c r="J21" s="63"/>
      <c r="K21" s="49"/>
      <c r="L21" s="49"/>
      <c r="M21" s="49"/>
      <c r="N21" s="64"/>
      <c r="O21" s="63"/>
      <c r="P21" s="49"/>
      <c r="Q21" s="49"/>
      <c r="R21" s="49"/>
      <c r="S21" s="64"/>
      <c r="T21" s="63"/>
      <c r="U21" s="49"/>
      <c r="V21" s="49"/>
      <c r="W21" s="49"/>
      <c r="X21" s="64"/>
      <c r="Y21" s="63"/>
      <c r="Z21" s="49"/>
      <c r="AA21" s="49"/>
      <c r="AB21" s="49"/>
      <c r="AC21" s="64"/>
      <c r="AD21" s="63"/>
      <c r="AE21" s="49"/>
      <c r="AF21" s="64"/>
      <c r="AH21" s="12"/>
      <c r="AI21" s="12"/>
      <c r="AJ21" s="50" t="s">
        <v>43</v>
      </c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2"/>
    </row>
    <row r="22" spans="1:50" x14ac:dyDescent="0.25">
      <c r="F22" s="6"/>
      <c r="G22" s="5"/>
      <c r="I22" s="59"/>
      <c r="J22" s="65">
        <v>14</v>
      </c>
      <c r="K22" s="66"/>
      <c r="L22" s="66"/>
      <c r="M22" s="66"/>
      <c r="N22" s="67"/>
      <c r="O22" s="65">
        <v>23</v>
      </c>
      <c r="P22" s="66"/>
      <c r="Q22" s="66"/>
      <c r="R22" s="66"/>
      <c r="S22" s="67"/>
      <c r="T22" s="65">
        <v>22</v>
      </c>
      <c r="U22" s="66"/>
      <c r="V22" s="66"/>
      <c r="W22" s="66"/>
      <c r="X22" s="67"/>
      <c r="Y22" s="65">
        <v>21</v>
      </c>
      <c r="Z22" s="66"/>
      <c r="AA22" s="66"/>
      <c r="AB22" s="66"/>
      <c r="AC22" s="67"/>
      <c r="AD22" s="65">
        <v>8</v>
      </c>
      <c r="AE22" s="66"/>
      <c r="AF22" s="67"/>
      <c r="AH22" s="12"/>
      <c r="AI22" s="12"/>
      <c r="AJ22" s="53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5"/>
    </row>
    <row r="23" spans="1:50" x14ac:dyDescent="0.25">
      <c r="E23" s="10"/>
      <c r="F23" s="6"/>
      <c r="G23" s="5"/>
      <c r="H23" s="12"/>
      <c r="I23" s="59"/>
      <c r="J23" s="68"/>
      <c r="K23" s="69"/>
      <c r="L23" s="69"/>
      <c r="M23" s="69"/>
      <c r="N23" s="70"/>
      <c r="O23" s="68"/>
      <c r="P23" s="69"/>
      <c r="Q23" s="69"/>
      <c r="R23" s="69"/>
      <c r="S23" s="70"/>
      <c r="T23" s="68"/>
      <c r="U23" s="69"/>
      <c r="V23" s="69"/>
      <c r="W23" s="69"/>
      <c r="X23" s="70"/>
      <c r="Y23" s="68"/>
      <c r="Z23" s="69"/>
      <c r="AA23" s="69"/>
      <c r="AB23" s="69"/>
      <c r="AC23" s="70"/>
      <c r="AD23" s="68"/>
      <c r="AE23" s="69"/>
      <c r="AF23" s="70"/>
      <c r="AH23" s="12"/>
      <c r="AI23" s="12"/>
      <c r="AJ23" s="50" t="s">
        <v>6</v>
      </c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  <c r="AW23" s="51"/>
      <c r="AX23" s="52"/>
    </row>
    <row r="24" spans="1:50" x14ac:dyDescent="0.25">
      <c r="F24" s="6"/>
      <c r="G24" s="5"/>
      <c r="I24" s="59">
        <v>10</v>
      </c>
      <c r="J24" s="60">
        <f>100-1.14</f>
        <v>98.86</v>
      </c>
      <c r="K24" s="61"/>
      <c r="L24" s="61"/>
      <c r="M24" s="61"/>
      <c r="N24" s="62"/>
      <c r="O24" s="60">
        <f>100-1.17</f>
        <v>98.83</v>
      </c>
      <c r="P24" s="61"/>
      <c r="Q24" s="61"/>
      <c r="R24" s="61"/>
      <c r="S24" s="62"/>
      <c r="T24" s="60">
        <f>100-1.15</f>
        <v>98.85</v>
      </c>
      <c r="U24" s="61"/>
      <c r="V24" s="61"/>
      <c r="W24" s="61"/>
      <c r="X24" s="62"/>
      <c r="Y24" s="60">
        <f>100-1.08</f>
        <v>98.92</v>
      </c>
      <c r="Z24" s="61"/>
      <c r="AA24" s="61"/>
      <c r="AB24" s="61"/>
      <c r="AC24" s="62"/>
      <c r="AD24" s="60">
        <f>100-1.17</f>
        <v>98.83</v>
      </c>
      <c r="AE24" s="61"/>
      <c r="AF24" s="62"/>
      <c r="AH24" s="12"/>
      <c r="AI24" s="12"/>
      <c r="AJ24" s="53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5"/>
    </row>
    <row r="25" spans="1:50" x14ac:dyDescent="0.25">
      <c r="F25" s="6"/>
      <c r="G25" s="5"/>
      <c r="I25" s="59"/>
      <c r="J25" s="63"/>
      <c r="K25" s="49"/>
      <c r="L25" s="49"/>
      <c r="M25" s="49"/>
      <c r="N25" s="64"/>
      <c r="O25" s="63"/>
      <c r="P25" s="49"/>
      <c r="Q25" s="49"/>
      <c r="R25" s="49"/>
      <c r="S25" s="64"/>
      <c r="T25" s="63"/>
      <c r="U25" s="49"/>
      <c r="V25" s="49"/>
      <c r="W25" s="49"/>
      <c r="X25" s="64"/>
      <c r="Y25" s="63"/>
      <c r="Z25" s="49"/>
      <c r="AA25" s="49"/>
      <c r="AB25" s="49"/>
      <c r="AC25" s="64"/>
      <c r="AD25" s="63"/>
      <c r="AE25" s="49"/>
      <c r="AF25" s="64"/>
      <c r="AH25" s="12"/>
      <c r="AI25" s="12"/>
      <c r="AJ25" s="50" t="s">
        <v>7</v>
      </c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2"/>
    </row>
    <row r="26" spans="1:50" x14ac:dyDescent="0.25">
      <c r="F26" s="6"/>
      <c r="G26" s="5"/>
      <c r="I26" s="59"/>
      <c r="J26" s="63"/>
      <c r="K26" s="49"/>
      <c r="L26" s="49"/>
      <c r="M26" s="49"/>
      <c r="N26" s="64"/>
      <c r="O26" s="63"/>
      <c r="P26" s="49"/>
      <c r="Q26" s="49"/>
      <c r="R26" s="49"/>
      <c r="S26" s="64"/>
      <c r="T26" s="63"/>
      <c r="U26" s="49"/>
      <c r="V26" s="49"/>
      <c r="W26" s="49"/>
      <c r="X26" s="64"/>
      <c r="Y26" s="63"/>
      <c r="Z26" s="49"/>
      <c r="AA26" s="49"/>
      <c r="AB26" s="49"/>
      <c r="AC26" s="64"/>
      <c r="AD26" s="63"/>
      <c r="AE26" s="49"/>
      <c r="AF26" s="64"/>
      <c r="AH26" s="12"/>
      <c r="AI26" s="12"/>
      <c r="AJ26" s="53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5"/>
    </row>
    <row r="27" spans="1:50" x14ac:dyDescent="0.25">
      <c r="F27" s="6"/>
      <c r="G27" s="5"/>
      <c r="I27" s="59"/>
      <c r="J27" s="65">
        <v>13</v>
      </c>
      <c r="K27" s="66"/>
      <c r="L27" s="66"/>
      <c r="M27" s="66"/>
      <c r="N27" s="67"/>
      <c r="O27" s="65">
        <v>12</v>
      </c>
      <c r="P27" s="66"/>
      <c r="Q27" s="66"/>
      <c r="R27" s="66"/>
      <c r="S27" s="67"/>
      <c r="T27" s="65">
        <v>11</v>
      </c>
      <c r="U27" s="66"/>
      <c r="V27" s="66"/>
      <c r="W27" s="66"/>
      <c r="X27" s="67"/>
      <c r="Y27" s="65">
        <v>10</v>
      </c>
      <c r="Z27" s="66"/>
      <c r="AA27" s="66"/>
      <c r="AB27" s="66"/>
      <c r="AC27" s="67"/>
      <c r="AD27" s="65">
        <v>9</v>
      </c>
      <c r="AE27" s="66"/>
      <c r="AF27" s="67"/>
      <c r="AH27" s="12"/>
      <c r="AI27" s="12"/>
      <c r="AJ27" s="50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2"/>
    </row>
    <row r="28" spans="1:50" x14ac:dyDescent="0.25">
      <c r="F28" s="9"/>
      <c r="G28" s="7"/>
      <c r="I28" s="59"/>
      <c r="J28" s="68"/>
      <c r="K28" s="69"/>
      <c r="L28" s="69"/>
      <c r="M28" s="69"/>
      <c r="N28" s="70"/>
      <c r="O28" s="68"/>
      <c r="P28" s="69"/>
      <c r="Q28" s="69"/>
      <c r="R28" s="69"/>
      <c r="S28" s="70"/>
      <c r="T28" s="68"/>
      <c r="U28" s="69"/>
      <c r="V28" s="69"/>
      <c r="W28" s="69"/>
      <c r="X28" s="70"/>
      <c r="Y28" s="68"/>
      <c r="Z28" s="69"/>
      <c r="AA28" s="69"/>
      <c r="AB28" s="69"/>
      <c r="AC28" s="70"/>
      <c r="AD28" s="68"/>
      <c r="AE28" s="69"/>
      <c r="AF28" s="70"/>
      <c r="AH28" s="12"/>
      <c r="AI28" s="12"/>
      <c r="AJ28" s="53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5"/>
    </row>
    <row r="29" spans="1:50" x14ac:dyDescent="0.25"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</row>
    <row r="31" spans="1:50" x14ac:dyDescent="0.25">
      <c r="H31" s="7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49">
        <f>U1</f>
        <v>45</v>
      </c>
      <c r="Z31" s="49"/>
      <c r="AA31" s="49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9"/>
    </row>
    <row r="32" spans="1:50" x14ac:dyDescent="0.25">
      <c r="A32" s="12"/>
      <c r="B32" s="12"/>
      <c r="C32" s="12"/>
      <c r="D32" s="12"/>
      <c r="E32" s="12"/>
      <c r="F32" s="12"/>
      <c r="G32" s="12"/>
      <c r="H32" s="18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49"/>
      <c r="Z32" s="49"/>
      <c r="AA32" s="4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31"/>
      <c r="AQ32" s="12"/>
      <c r="AR32" s="12"/>
      <c r="AS32" s="12"/>
      <c r="AT32" s="12"/>
      <c r="AU32" s="12"/>
      <c r="AV32" s="12"/>
      <c r="AW32" s="12"/>
      <c r="AX32" s="12"/>
    </row>
    <row r="33" spans="1:50" x14ac:dyDescent="0.25">
      <c r="A33" s="56" t="s">
        <v>9</v>
      </c>
      <c r="B33" s="56"/>
      <c r="C33" s="56"/>
      <c r="D33" s="56"/>
      <c r="E33" s="24"/>
      <c r="F33" s="28"/>
      <c r="G33" s="25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4"/>
      <c r="AR33" s="28"/>
      <c r="AS33" s="25"/>
      <c r="AT33" s="12"/>
      <c r="AU33" s="12"/>
      <c r="AV33" s="26"/>
      <c r="AW33" s="26"/>
      <c r="AX33" s="26"/>
    </row>
    <row r="34" spans="1:50" x14ac:dyDescent="0.25">
      <c r="A34" s="57" t="s">
        <v>10</v>
      </c>
      <c r="B34" s="57"/>
      <c r="C34" s="57"/>
      <c r="D34" s="57"/>
      <c r="E34" s="27"/>
      <c r="F34" s="27"/>
      <c r="G34" s="29"/>
      <c r="H34" s="11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3"/>
      <c r="AQ34" s="12"/>
      <c r="AR34" s="12"/>
      <c r="AS34" s="12"/>
      <c r="AT34" s="31"/>
      <c r="AU34" s="18"/>
      <c r="AV34" s="12"/>
      <c r="AW34" s="12"/>
      <c r="AX34" s="12"/>
    </row>
    <row r="35" spans="1:50" x14ac:dyDescent="0.25">
      <c r="A35" s="47"/>
      <c r="B35" s="47"/>
      <c r="C35" s="47"/>
      <c r="D35" s="47"/>
      <c r="E35" s="23"/>
      <c r="F35" s="23"/>
      <c r="G35" s="30"/>
      <c r="H35" s="14"/>
      <c r="I35" s="15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5"/>
      <c r="AP35" s="16"/>
      <c r="AQ35" s="12"/>
      <c r="AR35" s="12"/>
      <c r="AS35" s="12"/>
      <c r="AT35" s="13"/>
      <c r="AU35" s="11"/>
      <c r="AV35" s="12"/>
      <c r="AW35" s="12"/>
      <c r="AX35" s="12"/>
    </row>
    <row r="36" spans="1:50" x14ac:dyDescent="0.25">
      <c r="A36" s="58" t="s">
        <v>11</v>
      </c>
      <c r="B36" s="58"/>
      <c r="C36" s="58"/>
      <c r="D36" s="58"/>
      <c r="E36" s="12"/>
      <c r="F36" s="12"/>
      <c r="G36" s="12"/>
      <c r="H36" s="12"/>
      <c r="I36" s="13"/>
      <c r="J36" s="11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3"/>
      <c r="AO36" s="12"/>
      <c r="AP36" s="12"/>
      <c r="AQ36" s="12"/>
      <c r="AR36" s="12"/>
      <c r="AS36" s="49">
        <v>2.4</v>
      </c>
      <c r="AT36" s="49"/>
      <c r="AU36" s="49"/>
      <c r="AV36" s="49"/>
      <c r="AW36" s="12"/>
      <c r="AX36" s="12"/>
    </row>
    <row r="37" spans="1:50" x14ac:dyDescent="0.25">
      <c r="A37" s="47"/>
      <c r="B37" s="47"/>
      <c r="C37" s="47"/>
      <c r="D37" s="47"/>
      <c r="E37" s="23"/>
      <c r="F37" s="23"/>
      <c r="G37" s="23"/>
      <c r="H37" s="23"/>
      <c r="I37" s="30"/>
      <c r="J37" s="14"/>
      <c r="K37" s="15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5"/>
      <c r="AN37" s="16"/>
      <c r="AO37" s="12"/>
      <c r="AP37" s="12"/>
      <c r="AQ37" s="12"/>
      <c r="AR37" s="12"/>
      <c r="AS37" s="10"/>
      <c r="AT37" s="34"/>
      <c r="AU37" s="33"/>
      <c r="AV37" s="10"/>
      <c r="AW37" s="12"/>
      <c r="AX37" s="12"/>
    </row>
    <row r="38" spans="1:50" ht="8.25" customHeight="1" x14ac:dyDescent="0.25">
      <c r="A38" s="46" t="s">
        <v>49</v>
      </c>
      <c r="B38" s="46"/>
      <c r="C38" s="46"/>
      <c r="D38" s="46"/>
      <c r="E38" s="12"/>
      <c r="F38" s="12"/>
      <c r="G38" s="12"/>
      <c r="H38" s="12"/>
      <c r="I38" s="12"/>
      <c r="J38" s="12"/>
      <c r="K38" s="12"/>
      <c r="L38" s="11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3"/>
      <c r="AM38" s="12"/>
      <c r="AN38" s="12"/>
      <c r="AO38" s="12"/>
      <c r="AP38" s="12"/>
      <c r="AQ38" s="12"/>
      <c r="AR38" s="12"/>
      <c r="AS38" s="33"/>
      <c r="AT38" s="34"/>
      <c r="AU38" s="33"/>
      <c r="AV38" s="33"/>
      <c r="AW38" s="12"/>
      <c r="AX38" s="12"/>
    </row>
    <row r="39" spans="1:50" ht="12" customHeight="1" x14ac:dyDescent="0.25">
      <c r="A39" s="47"/>
      <c r="B39" s="47"/>
      <c r="C39" s="47"/>
      <c r="D39" s="47"/>
      <c r="E39" s="23"/>
      <c r="F39" s="23"/>
      <c r="G39" s="23"/>
      <c r="H39" s="23"/>
      <c r="I39" s="23"/>
      <c r="J39" s="23"/>
      <c r="K39" s="30"/>
      <c r="L39" s="14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6"/>
      <c r="AM39" s="12"/>
      <c r="AN39" s="12"/>
      <c r="AO39" s="12"/>
      <c r="AP39" s="12"/>
      <c r="AQ39" s="12"/>
      <c r="AR39" s="12"/>
      <c r="AS39" s="12"/>
      <c r="AT39" s="16"/>
      <c r="AU39" s="14"/>
      <c r="AV39" s="12"/>
      <c r="AW39" s="12"/>
      <c r="AX39" s="12"/>
    </row>
    <row r="40" spans="1:50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</row>
    <row r="41" spans="1:50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4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49">
        <f>Y31-4</f>
        <v>41</v>
      </c>
      <c r="Z41" s="49"/>
      <c r="AA41" s="49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6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</row>
    <row r="42" spans="1:50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8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49"/>
      <c r="Z42" s="49"/>
      <c r="AA42" s="4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31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</row>
    <row r="43" spans="1:50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</row>
    <row r="44" spans="1:50" x14ac:dyDescent="0.25"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</row>
    <row r="45" spans="1:50" x14ac:dyDescent="0.25">
      <c r="A45" s="48" t="s">
        <v>13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</row>
    <row r="46" spans="1:50" x14ac:dyDescent="0.25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</row>
    <row r="47" spans="1:50" x14ac:dyDescent="0.25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</row>
  </sheetData>
  <mergeCells count="94">
    <mergeCell ref="AO11:AS12"/>
    <mergeCell ref="AT11:AX12"/>
    <mergeCell ref="AJ13:AX14"/>
    <mergeCell ref="AJ7:AN8"/>
    <mergeCell ref="AO7:AS8"/>
    <mergeCell ref="AT7:AX8"/>
    <mergeCell ref="AJ9:AN10"/>
    <mergeCell ref="AO9:AS10"/>
    <mergeCell ref="AT9:AX10"/>
    <mergeCell ref="Y41:AA42"/>
    <mergeCell ref="A45:AX47"/>
    <mergeCell ref="I9:I13"/>
    <mergeCell ref="J9:N11"/>
    <mergeCell ref="O9:S11"/>
    <mergeCell ref="T9:X11"/>
    <mergeCell ref="Y9:AC11"/>
    <mergeCell ref="AD9:AF11"/>
    <mergeCell ref="J12:N13"/>
    <mergeCell ref="O12:S13"/>
    <mergeCell ref="Y31:AA32"/>
    <mergeCell ref="A33:D33"/>
    <mergeCell ref="A34:D35"/>
    <mergeCell ref="A36:D37"/>
    <mergeCell ref="AS36:AV36"/>
    <mergeCell ref="A38:D39"/>
    <mergeCell ref="AJ25:AX26"/>
    <mergeCell ref="J27:N28"/>
    <mergeCell ref="O27:S28"/>
    <mergeCell ref="T27:X28"/>
    <mergeCell ref="Y27:AC28"/>
    <mergeCell ref="AD27:AF28"/>
    <mergeCell ref="AJ27:AX28"/>
    <mergeCell ref="AD24:AF26"/>
    <mergeCell ref="I24:I28"/>
    <mergeCell ref="J24:N26"/>
    <mergeCell ref="O24:S26"/>
    <mergeCell ref="T24:X26"/>
    <mergeCell ref="Y24:AC26"/>
    <mergeCell ref="AD19:AF21"/>
    <mergeCell ref="AJ21:AX22"/>
    <mergeCell ref="J22:N23"/>
    <mergeCell ref="O22:S23"/>
    <mergeCell ref="T22:X23"/>
    <mergeCell ref="Y22:AC23"/>
    <mergeCell ref="AD22:AF23"/>
    <mergeCell ref="AJ23:AX24"/>
    <mergeCell ref="AJ15:AX20"/>
    <mergeCell ref="J17:N18"/>
    <mergeCell ref="O17:S18"/>
    <mergeCell ref="T17:X18"/>
    <mergeCell ref="Y17:AC18"/>
    <mergeCell ref="AD17:AF18"/>
    <mergeCell ref="Y19:AC21"/>
    <mergeCell ref="Y14:AC16"/>
    <mergeCell ref="E18:H19"/>
    <mergeCell ref="I19:I23"/>
    <mergeCell ref="J19:N21"/>
    <mergeCell ref="O19:S21"/>
    <mergeCell ref="T19:X21"/>
    <mergeCell ref="I14:I18"/>
    <mergeCell ref="J14:N16"/>
    <mergeCell ref="O14:S16"/>
    <mergeCell ref="T14:X16"/>
    <mergeCell ref="AD7:AF8"/>
    <mergeCell ref="AJ11:AN12"/>
    <mergeCell ref="AD14:AF16"/>
    <mergeCell ref="T12:X13"/>
    <mergeCell ref="Y12:AC13"/>
    <mergeCell ref="AD12:AF13"/>
    <mergeCell ref="AO5:AS6"/>
    <mergeCell ref="AT5:AX6"/>
    <mergeCell ref="J4:N4"/>
    <mergeCell ref="O4:S4"/>
    <mergeCell ref="T4:X4"/>
    <mergeCell ref="Y4:AC4"/>
    <mergeCell ref="AD4:AF4"/>
    <mergeCell ref="AJ5:AN6"/>
    <mergeCell ref="AD5:AF6"/>
    <mergeCell ref="I5:I8"/>
    <mergeCell ref="J5:N6"/>
    <mergeCell ref="O5:S6"/>
    <mergeCell ref="T5:X6"/>
    <mergeCell ref="Y5:AC6"/>
    <mergeCell ref="J7:N8"/>
    <mergeCell ref="O7:S8"/>
    <mergeCell ref="T7:X8"/>
    <mergeCell ref="Y7:AC8"/>
    <mergeCell ref="U1:W2"/>
    <mergeCell ref="AJ1:AN2"/>
    <mergeCell ref="AO1:AS2"/>
    <mergeCell ref="AT1:AX2"/>
    <mergeCell ref="AJ3:AN4"/>
    <mergeCell ref="AO3:AS4"/>
    <mergeCell ref="AT3:AX4"/>
  </mergeCells>
  <phoneticPr fontId="1" type="noConversion"/>
  <pageMargins left="0.7" right="0.7" top="0.75" bottom="0.75" header="0.3" footer="0.3"/>
  <pageSetup paperSize="9" scale="67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685E9-80A4-4669-A92F-CA5055FAA71C}">
  <sheetPr>
    <pageSetUpPr fitToPage="1"/>
  </sheetPr>
  <dimension ref="A1:AZ43"/>
  <sheetViews>
    <sheetView workbookViewId="0">
      <selection activeCell="T15" sqref="T15:X17"/>
    </sheetView>
  </sheetViews>
  <sheetFormatPr defaultColWidth="2.7109375" defaultRowHeight="15" x14ac:dyDescent="0.25"/>
  <cols>
    <col min="1" max="8" width="2.7109375" style="1"/>
    <col min="9" max="9" width="2.7109375" style="1" customWidth="1"/>
    <col min="10" max="16384" width="2.7109375" style="1"/>
  </cols>
  <sheetData>
    <row r="1" spans="5:52" x14ac:dyDescent="0.25">
      <c r="J1" s="7"/>
      <c r="K1" s="8"/>
      <c r="L1" s="8"/>
      <c r="M1" s="8"/>
      <c r="N1" s="8"/>
      <c r="O1" s="8"/>
      <c r="P1" s="8"/>
      <c r="Q1" s="8"/>
      <c r="R1" s="8"/>
      <c r="S1" s="8"/>
      <c r="T1" s="8"/>
      <c r="U1" s="49">
        <f>SUM(J4:AH4)</f>
        <v>50</v>
      </c>
      <c r="V1" s="49"/>
      <c r="W1" s="49"/>
      <c r="X1" s="8"/>
      <c r="Y1" s="8"/>
      <c r="Z1" s="8"/>
      <c r="AA1" s="8"/>
      <c r="AB1" s="8"/>
      <c r="AC1" s="8"/>
      <c r="AD1" s="8"/>
      <c r="AE1" s="8"/>
      <c r="AF1" s="8"/>
      <c r="AG1" s="8"/>
      <c r="AH1" s="9"/>
      <c r="AL1" s="83" t="s">
        <v>0</v>
      </c>
      <c r="AM1" s="83"/>
      <c r="AN1" s="83"/>
      <c r="AO1" s="83"/>
      <c r="AP1" s="83"/>
      <c r="AQ1" s="83" t="s">
        <v>1</v>
      </c>
      <c r="AR1" s="83"/>
      <c r="AS1" s="83"/>
      <c r="AT1" s="83"/>
      <c r="AU1" s="83"/>
      <c r="AV1" s="83" t="s">
        <v>2</v>
      </c>
      <c r="AW1" s="83"/>
      <c r="AX1" s="83"/>
      <c r="AY1" s="83"/>
      <c r="AZ1" s="83"/>
    </row>
    <row r="2" spans="5:52" x14ac:dyDescent="0.25">
      <c r="J2" s="2"/>
      <c r="K2" s="3"/>
      <c r="L2" s="3"/>
      <c r="M2" s="3"/>
      <c r="N2" s="3"/>
      <c r="O2" s="3"/>
      <c r="P2" s="3"/>
      <c r="Q2" s="3"/>
      <c r="R2" s="3"/>
      <c r="S2" s="3"/>
      <c r="T2" s="3"/>
      <c r="U2" s="49"/>
      <c r="V2" s="49"/>
      <c r="W2" s="49"/>
      <c r="X2" s="3"/>
      <c r="Y2" s="3"/>
      <c r="Z2" s="3"/>
      <c r="AA2" s="3"/>
      <c r="AB2" s="3"/>
      <c r="AC2" s="3"/>
      <c r="AD2" s="3"/>
      <c r="AE2" s="3"/>
      <c r="AF2" s="3"/>
      <c r="AG2" s="3"/>
      <c r="AH2" s="4"/>
      <c r="AJ2" s="12"/>
      <c r="AK2" s="12"/>
      <c r="AL2" s="83"/>
      <c r="AM2" s="83"/>
      <c r="AN2" s="83"/>
      <c r="AO2" s="83"/>
      <c r="AP2" s="83"/>
      <c r="AQ2" s="83"/>
      <c r="AR2" s="83"/>
      <c r="AS2" s="83"/>
      <c r="AT2" s="83"/>
      <c r="AU2" s="83"/>
      <c r="AV2" s="83"/>
      <c r="AW2" s="83"/>
      <c r="AX2" s="83"/>
      <c r="AY2" s="83"/>
      <c r="AZ2" s="83"/>
    </row>
    <row r="3" spans="5:52" x14ac:dyDescent="0.25">
      <c r="AJ3" s="12"/>
      <c r="AK3" s="12"/>
      <c r="AL3" s="80" t="s">
        <v>32</v>
      </c>
      <c r="AM3" s="80"/>
      <c r="AN3" s="80"/>
      <c r="AO3" s="80"/>
      <c r="AP3" s="80"/>
      <c r="AQ3" s="81">
        <f>SUM(J5+O5+T5+Y5+AD5+AD10+AD15+AD20+Y20+T20+O20+J20+J15+J10)/14</f>
        <v>98.405714285714311</v>
      </c>
      <c r="AR3" s="81"/>
      <c r="AS3" s="81"/>
      <c r="AT3" s="81"/>
      <c r="AU3" s="81"/>
      <c r="AV3" s="81">
        <f>100-AQ3</f>
        <v>1.5942857142856894</v>
      </c>
      <c r="AW3" s="81"/>
      <c r="AX3" s="81"/>
      <c r="AY3" s="81"/>
      <c r="AZ3" s="81"/>
    </row>
    <row r="4" spans="5:52" x14ac:dyDescent="0.25">
      <c r="J4" s="82">
        <v>10</v>
      </c>
      <c r="K4" s="82"/>
      <c r="L4" s="82"/>
      <c r="M4" s="82"/>
      <c r="N4" s="82"/>
      <c r="O4" s="82">
        <v>10</v>
      </c>
      <c r="P4" s="82"/>
      <c r="Q4" s="82"/>
      <c r="R4" s="82"/>
      <c r="S4" s="82"/>
      <c r="T4" s="82">
        <v>10</v>
      </c>
      <c r="U4" s="82"/>
      <c r="V4" s="82"/>
      <c r="W4" s="82"/>
      <c r="X4" s="82"/>
      <c r="Y4" s="82">
        <v>10</v>
      </c>
      <c r="Z4" s="82"/>
      <c r="AA4" s="82"/>
      <c r="AB4" s="82"/>
      <c r="AC4" s="82"/>
      <c r="AD4" s="82">
        <v>10</v>
      </c>
      <c r="AE4" s="82"/>
      <c r="AF4" s="82"/>
      <c r="AG4" s="82"/>
      <c r="AH4" s="82"/>
      <c r="AJ4" s="12"/>
      <c r="AK4" s="12"/>
      <c r="AL4" s="80"/>
      <c r="AM4" s="80"/>
      <c r="AN4" s="80"/>
      <c r="AO4" s="80"/>
      <c r="AP4" s="80"/>
      <c r="AQ4" s="81"/>
      <c r="AR4" s="81"/>
      <c r="AS4" s="81"/>
      <c r="AT4" s="81"/>
      <c r="AU4" s="81"/>
      <c r="AV4" s="81"/>
      <c r="AW4" s="81"/>
      <c r="AX4" s="81"/>
      <c r="AY4" s="81"/>
      <c r="AZ4" s="81"/>
    </row>
    <row r="5" spans="5:52" x14ac:dyDescent="0.25">
      <c r="F5" s="4"/>
      <c r="G5" s="2"/>
      <c r="I5" s="59">
        <v>10</v>
      </c>
      <c r="J5" s="60">
        <f>100-1.65</f>
        <v>98.35</v>
      </c>
      <c r="K5" s="61"/>
      <c r="L5" s="61"/>
      <c r="M5" s="61"/>
      <c r="N5" s="62"/>
      <c r="O5" s="60">
        <f>100-1.7</f>
        <v>98.3</v>
      </c>
      <c r="P5" s="61"/>
      <c r="Q5" s="61"/>
      <c r="R5" s="61"/>
      <c r="S5" s="62"/>
      <c r="T5" s="60">
        <f>100-1.7</f>
        <v>98.3</v>
      </c>
      <c r="U5" s="61"/>
      <c r="V5" s="61"/>
      <c r="W5" s="61"/>
      <c r="X5" s="62"/>
      <c r="Y5" s="60">
        <f>100-1.63</f>
        <v>98.37</v>
      </c>
      <c r="Z5" s="61"/>
      <c r="AA5" s="61"/>
      <c r="AB5" s="61"/>
      <c r="AC5" s="62"/>
      <c r="AD5" s="60">
        <f>100-1.58</f>
        <v>98.42</v>
      </c>
      <c r="AE5" s="61"/>
      <c r="AF5" s="61"/>
      <c r="AG5" s="61"/>
      <c r="AH5" s="62"/>
      <c r="AJ5" s="12"/>
      <c r="AK5" s="12"/>
      <c r="AL5" s="80" t="s">
        <v>33</v>
      </c>
      <c r="AM5" s="80"/>
      <c r="AN5" s="80"/>
      <c r="AO5" s="80"/>
      <c r="AP5" s="80"/>
      <c r="AQ5" s="81">
        <f>SUM(O10+T10+Y10+Y15+T15+O15)/6</f>
        <v>98.130555555555546</v>
      </c>
      <c r="AR5" s="81"/>
      <c r="AS5" s="81"/>
      <c r="AT5" s="81"/>
      <c r="AU5" s="81"/>
      <c r="AV5" s="81">
        <f t="shared" ref="AV5" si="0">100-AQ5</f>
        <v>1.8694444444444542</v>
      </c>
      <c r="AW5" s="81"/>
      <c r="AX5" s="81"/>
      <c r="AY5" s="81"/>
      <c r="AZ5" s="81"/>
    </row>
    <row r="6" spans="5:52" x14ac:dyDescent="0.25">
      <c r="F6" s="6"/>
      <c r="G6" s="5"/>
      <c r="I6" s="59"/>
      <c r="J6" s="63"/>
      <c r="K6" s="49"/>
      <c r="L6" s="49"/>
      <c r="M6" s="49"/>
      <c r="N6" s="64"/>
      <c r="O6" s="63"/>
      <c r="P6" s="49"/>
      <c r="Q6" s="49"/>
      <c r="R6" s="49"/>
      <c r="S6" s="64"/>
      <c r="T6" s="63"/>
      <c r="U6" s="49"/>
      <c r="V6" s="49"/>
      <c r="W6" s="49"/>
      <c r="X6" s="64"/>
      <c r="Y6" s="63"/>
      <c r="Z6" s="49"/>
      <c r="AA6" s="49"/>
      <c r="AB6" s="49"/>
      <c r="AC6" s="64"/>
      <c r="AD6" s="63"/>
      <c r="AE6" s="49"/>
      <c r="AF6" s="49"/>
      <c r="AG6" s="49"/>
      <c r="AH6" s="64"/>
      <c r="AJ6" s="12"/>
      <c r="AK6" s="12"/>
      <c r="AL6" s="80"/>
      <c r="AM6" s="80"/>
      <c r="AN6" s="80"/>
      <c r="AO6" s="80"/>
      <c r="AP6" s="80"/>
      <c r="AQ6" s="81"/>
      <c r="AR6" s="81"/>
      <c r="AS6" s="81"/>
      <c r="AT6" s="81"/>
      <c r="AU6" s="81"/>
      <c r="AV6" s="81"/>
      <c r="AW6" s="81"/>
      <c r="AX6" s="81"/>
      <c r="AY6" s="81"/>
      <c r="AZ6" s="81"/>
    </row>
    <row r="7" spans="5:52" ht="15" customHeight="1" x14ac:dyDescent="0.25">
      <c r="F7" s="6"/>
      <c r="G7" s="5"/>
      <c r="I7" s="59"/>
      <c r="J7" s="63"/>
      <c r="K7" s="49"/>
      <c r="L7" s="49"/>
      <c r="M7" s="49"/>
      <c r="N7" s="64"/>
      <c r="O7" s="63"/>
      <c r="P7" s="49"/>
      <c r="Q7" s="49"/>
      <c r="R7" s="49"/>
      <c r="S7" s="64"/>
      <c r="T7" s="63"/>
      <c r="U7" s="49"/>
      <c r="V7" s="49"/>
      <c r="W7" s="49"/>
      <c r="X7" s="64"/>
      <c r="Y7" s="63"/>
      <c r="Z7" s="49"/>
      <c r="AA7" s="49"/>
      <c r="AB7" s="49"/>
      <c r="AC7" s="64"/>
      <c r="AD7" s="63"/>
      <c r="AE7" s="49"/>
      <c r="AF7" s="49"/>
      <c r="AG7" s="49"/>
      <c r="AH7" s="64"/>
      <c r="AJ7" s="12"/>
      <c r="AK7" s="12"/>
      <c r="AL7" s="80"/>
      <c r="AM7" s="80"/>
      <c r="AN7" s="80"/>
      <c r="AO7" s="80"/>
      <c r="AP7" s="80"/>
      <c r="AQ7" s="81"/>
      <c r="AR7" s="81"/>
      <c r="AS7" s="81"/>
      <c r="AT7" s="81"/>
      <c r="AU7" s="81"/>
      <c r="AV7" s="81"/>
      <c r="AW7" s="81"/>
      <c r="AX7" s="81"/>
      <c r="AY7" s="81"/>
      <c r="AZ7" s="81"/>
    </row>
    <row r="8" spans="5:52" ht="15" customHeight="1" x14ac:dyDescent="0.25">
      <c r="F8" s="6"/>
      <c r="G8" s="5"/>
      <c r="I8" s="59"/>
      <c r="J8" s="65">
        <v>1</v>
      </c>
      <c r="K8" s="66"/>
      <c r="L8" s="66"/>
      <c r="M8" s="66"/>
      <c r="N8" s="67"/>
      <c r="O8" s="65">
        <v>2</v>
      </c>
      <c r="P8" s="66"/>
      <c r="Q8" s="66"/>
      <c r="R8" s="66"/>
      <c r="S8" s="67"/>
      <c r="T8" s="65">
        <v>3</v>
      </c>
      <c r="U8" s="66"/>
      <c r="V8" s="66"/>
      <c r="W8" s="66"/>
      <c r="X8" s="67"/>
      <c r="Y8" s="65">
        <v>4</v>
      </c>
      <c r="Z8" s="66"/>
      <c r="AA8" s="66"/>
      <c r="AB8" s="66"/>
      <c r="AC8" s="67"/>
      <c r="AD8" s="65">
        <v>5</v>
      </c>
      <c r="AE8" s="66"/>
      <c r="AF8" s="66"/>
      <c r="AG8" s="66"/>
      <c r="AH8" s="67"/>
      <c r="AJ8" s="12"/>
      <c r="AK8" s="12"/>
      <c r="AL8" s="80"/>
      <c r="AM8" s="80"/>
      <c r="AN8" s="80"/>
      <c r="AO8" s="80"/>
      <c r="AP8" s="80"/>
      <c r="AQ8" s="81"/>
      <c r="AR8" s="81"/>
      <c r="AS8" s="81"/>
      <c r="AT8" s="81"/>
      <c r="AU8" s="81"/>
      <c r="AV8" s="81"/>
      <c r="AW8" s="81"/>
      <c r="AX8" s="81"/>
      <c r="AY8" s="81"/>
      <c r="AZ8" s="81"/>
    </row>
    <row r="9" spans="5:52" x14ac:dyDescent="0.25">
      <c r="F9" s="6"/>
      <c r="G9" s="5"/>
      <c r="I9" s="59"/>
      <c r="J9" s="68"/>
      <c r="K9" s="69"/>
      <c r="L9" s="69"/>
      <c r="M9" s="69"/>
      <c r="N9" s="70"/>
      <c r="O9" s="68"/>
      <c r="P9" s="69"/>
      <c r="Q9" s="69"/>
      <c r="R9" s="69"/>
      <c r="S9" s="70"/>
      <c r="T9" s="68"/>
      <c r="U9" s="69"/>
      <c r="V9" s="69"/>
      <c r="W9" s="69"/>
      <c r="X9" s="70"/>
      <c r="Y9" s="68"/>
      <c r="Z9" s="69"/>
      <c r="AA9" s="69"/>
      <c r="AB9" s="69"/>
      <c r="AC9" s="70"/>
      <c r="AD9" s="68"/>
      <c r="AE9" s="69"/>
      <c r="AF9" s="69"/>
      <c r="AG9" s="69"/>
      <c r="AH9" s="70"/>
      <c r="AJ9" s="12"/>
      <c r="AK9" s="12"/>
      <c r="AL9" s="80"/>
      <c r="AM9" s="80"/>
      <c r="AN9" s="80"/>
      <c r="AO9" s="80"/>
      <c r="AP9" s="80"/>
      <c r="AQ9" s="81"/>
      <c r="AR9" s="81"/>
      <c r="AS9" s="81"/>
      <c r="AT9" s="81"/>
      <c r="AU9" s="81"/>
      <c r="AV9" s="81"/>
      <c r="AW9" s="81"/>
      <c r="AX9" s="81"/>
      <c r="AY9" s="81"/>
      <c r="AZ9" s="81"/>
    </row>
    <row r="10" spans="5:52" x14ac:dyDescent="0.25">
      <c r="F10" s="6"/>
      <c r="G10" s="5"/>
      <c r="I10" s="59">
        <v>10</v>
      </c>
      <c r="J10" s="60">
        <f>100-1.56</f>
        <v>98.44</v>
      </c>
      <c r="K10" s="61"/>
      <c r="L10" s="61"/>
      <c r="M10" s="61"/>
      <c r="N10" s="62"/>
      <c r="O10" s="60">
        <f>SUM(J10+J5+O5)/3-0.28</f>
        <v>98.083333333333329</v>
      </c>
      <c r="P10" s="61"/>
      <c r="Q10" s="61"/>
      <c r="R10" s="61"/>
      <c r="S10" s="62"/>
      <c r="T10" s="60">
        <f>T5-0.25</f>
        <v>98.05</v>
      </c>
      <c r="U10" s="61"/>
      <c r="V10" s="61"/>
      <c r="W10" s="61"/>
      <c r="X10" s="62"/>
      <c r="Y10" s="60">
        <f>SUM(Y5+AD5+AD10)/3-0.26</f>
        <v>98.13</v>
      </c>
      <c r="Z10" s="61"/>
      <c r="AA10" s="61"/>
      <c r="AB10" s="61"/>
      <c r="AC10" s="62"/>
      <c r="AD10" s="60">
        <f>100-1.62</f>
        <v>98.38</v>
      </c>
      <c r="AE10" s="61"/>
      <c r="AF10" s="61"/>
      <c r="AG10" s="61"/>
      <c r="AH10" s="62"/>
      <c r="AJ10" s="12"/>
      <c r="AK10" s="12"/>
      <c r="AL10" s="80"/>
      <c r="AM10" s="80"/>
      <c r="AN10" s="80"/>
      <c r="AO10" s="80"/>
      <c r="AP10" s="80"/>
      <c r="AQ10" s="81"/>
      <c r="AR10" s="81"/>
      <c r="AS10" s="81"/>
      <c r="AT10" s="81"/>
      <c r="AU10" s="81"/>
      <c r="AV10" s="81"/>
      <c r="AW10" s="81"/>
      <c r="AX10" s="81"/>
      <c r="AY10" s="81"/>
      <c r="AZ10" s="81"/>
    </row>
    <row r="11" spans="5:52" x14ac:dyDescent="0.25">
      <c r="F11" s="6"/>
      <c r="G11" s="5"/>
      <c r="I11" s="59"/>
      <c r="J11" s="63"/>
      <c r="K11" s="49"/>
      <c r="L11" s="49"/>
      <c r="M11" s="49"/>
      <c r="N11" s="64"/>
      <c r="O11" s="63"/>
      <c r="P11" s="49"/>
      <c r="Q11" s="49"/>
      <c r="R11" s="49"/>
      <c r="S11" s="64"/>
      <c r="T11" s="63"/>
      <c r="U11" s="49"/>
      <c r="V11" s="49"/>
      <c r="W11" s="49"/>
      <c r="X11" s="64"/>
      <c r="Y11" s="63"/>
      <c r="Z11" s="49"/>
      <c r="AA11" s="49"/>
      <c r="AB11" s="49"/>
      <c r="AC11" s="64"/>
      <c r="AD11" s="63"/>
      <c r="AE11" s="49"/>
      <c r="AF11" s="49"/>
      <c r="AG11" s="49"/>
      <c r="AH11" s="64"/>
      <c r="AJ11" s="12"/>
      <c r="AK11" s="12"/>
      <c r="AL11" s="115" t="s">
        <v>34</v>
      </c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3"/>
    </row>
    <row r="12" spans="5:52" x14ac:dyDescent="0.25">
      <c r="F12" s="6"/>
      <c r="G12" s="5"/>
      <c r="I12" s="59"/>
      <c r="J12" s="63"/>
      <c r="K12" s="49"/>
      <c r="L12" s="49"/>
      <c r="M12" s="49"/>
      <c r="N12" s="64"/>
      <c r="O12" s="63"/>
      <c r="P12" s="49"/>
      <c r="Q12" s="49"/>
      <c r="R12" s="49"/>
      <c r="S12" s="64"/>
      <c r="T12" s="63"/>
      <c r="U12" s="49"/>
      <c r="V12" s="49"/>
      <c r="W12" s="49"/>
      <c r="X12" s="64"/>
      <c r="Y12" s="63"/>
      <c r="Z12" s="49"/>
      <c r="AA12" s="49"/>
      <c r="AB12" s="49"/>
      <c r="AC12" s="64"/>
      <c r="AD12" s="63"/>
      <c r="AE12" s="49"/>
      <c r="AF12" s="49"/>
      <c r="AG12" s="49"/>
      <c r="AH12" s="64"/>
      <c r="AJ12" s="12"/>
      <c r="AK12" s="12"/>
      <c r="AL12" s="74"/>
      <c r="AM12" s="75"/>
      <c r="AN12" s="75"/>
      <c r="AO12" s="75"/>
      <c r="AP12" s="75"/>
      <c r="AQ12" s="75"/>
      <c r="AR12" s="75"/>
      <c r="AS12" s="75"/>
      <c r="AT12" s="75"/>
      <c r="AU12" s="75"/>
      <c r="AV12" s="75"/>
      <c r="AW12" s="75"/>
      <c r="AX12" s="75"/>
      <c r="AY12" s="75"/>
      <c r="AZ12" s="76"/>
    </row>
    <row r="13" spans="5:52" x14ac:dyDescent="0.25">
      <c r="F13" s="6"/>
      <c r="G13" s="5"/>
      <c r="I13" s="59"/>
      <c r="J13" s="65">
        <v>14</v>
      </c>
      <c r="K13" s="66"/>
      <c r="L13" s="66"/>
      <c r="M13" s="66"/>
      <c r="N13" s="67"/>
      <c r="O13" s="65">
        <v>15</v>
      </c>
      <c r="P13" s="66"/>
      <c r="Q13" s="66"/>
      <c r="R13" s="66"/>
      <c r="S13" s="67"/>
      <c r="T13" s="65">
        <v>16</v>
      </c>
      <c r="U13" s="66"/>
      <c r="V13" s="66"/>
      <c r="W13" s="66"/>
      <c r="X13" s="67"/>
      <c r="Y13" s="65">
        <v>17</v>
      </c>
      <c r="Z13" s="66"/>
      <c r="AA13" s="66"/>
      <c r="AB13" s="66"/>
      <c r="AC13" s="67"/>
      <c r="AD13" s="65">
        <v>6</v>
      </c>
      <c r="AE13" s="66"/>
      <c r="AF13" s="66"/>
      <c r="AG13" s="66"/>
      <c r="AH13" s="67"/>
      <c r="AJ13" s="12"/>
      <c r="AK13" s="12"/>
      <c r="AL13" s="74"/>
      <c r="AM13" s="75"/>
      <c r="AN13" s="75"/>
      <c r="AO13" s="75"/>
      <c r="AP13" s="75"/>
      <c r="AQ13" s="75"/>
      <c r="AR13" s="75"/>
      <c r="AS13" s="75"/>
      <c r="AT13" s="75"/>
      <c r="AU13" s="75"/>
      <c r="AV13" s="75"/>
      <c r="AW13" s="75"/>
      <c r="AX13" s="75"/>
      <c r="AY13" s="75"/>
      <c r="AZ13" s="76"/>
    </row>
    <row r="14" spans="5:52" x14ac:dyDescent="0.25">
      <c r="E14" s="49">
        <f>SUM(I5:I24)</f>
        <v>40</v>
      </c>
      <c r="F14" s="49"/>
      <c r="G14" s="49"/>
      <c r="H14" s="49"/>
      <c r="I14" s="59"/>
      <c r="J14" s="68"/>
      <c r="K14" s="69"/>
      <c r="L14" s="69"/>
      <c r="M14" s="69"/>
      <c r="N14" s="70"/>
      <c r="O14" s="68"/>
      <c r="P14" s="69"/>
      <c r="Q14" s="69"/>
      <c r="R14" s="69"/>
      <c r="S14" s="70"/>
      <c r="T14" s="68"/>
      <c r="U14" s="69"/>
      <c r="V14" s="69"/>
      <c r="W14" s="69"/>
      <c r="X14" s="70"/>
      <c r="Y14" s="68"/>
      <c r="Z14" s="69"/>
      <c r="AA14" s="69"/>
      <c r="AB14" s="69"/>
      <c r="AC14" s="70"/>
      <c r="AD14" s="68"/>
      <c r="AE14" s="69"/>
      <c r="AF14" s="69"/>
      <c r="AG14" s="69"/>
      <c r="AH14" s="70"/>
      <c r="AJ14" s="12"/>
      <c r="AK14" s="12"/>
      <c r="AL14" s="74"/>
      <c r="AM14" s="75"/>
      <c r="AN14" s="75"/>
      <c r="AO14" s="75"/>
      <c r="AP14" s="75"/>
      <c r="AQ14" s="75"/>
      <c r="AR14" s="75"/>
      <c r="AS14" s="75"/>
      <c r="AT14" s="75"/>
      <c r="AU14" s="75"/>
      <c r="AV14" s="75"/>
      <c r="AW14" s="75"/>
      <c r="AX14" s="75"/>
      <c r="AY14" s="75"/>
      <c r="AZ14" s="76"/>
    </row>
    <row r="15" spans="5:52" x14ac:dyDescent="0.25">
      <c r="E15" s="49"/>
      <c r="F15" s="49"/>
      <c r="G15" s="49"/>
      <c r="H15" s="49"/>
      <c r="I15" s="59">
        <v>10</v>
      </c>
      <c r="J15" s="60">
        <f>100-1.63</f>
        <v>98.37</v>
      </c>
      <c r="K15" s="61"/>
      <c r="L15" s="61"/>
      <c r="M15" s="61"/>
      <c r="N15" s="62"/>
      <c r="O15" s="60">
        <f>SUM(O20+J20+J15)/3-0.28</f>
        <v>98.11666666666666</v>
      </c>
      <c r="P15" s="61"/>
      <c r="Q15" s="61"/>
      <c r="R15" s="61"/>
      <c r="S15" s="62"/>
      <c r="T15" s="60">
        <f>T20-0.26</f>
        <v>98.19</v>
      </c>
      <c r="U15" s="61"/>
      <c r="V15" s="61"/>
      <c r="W15" s="61"/>
      <c r="X15" s="62"/>
      <c r="Y15" s="60">
        <f>SUM(Y20+AD20+AD15)/3-0.28</f>
        <v>98.213333333333338</v>
      </c>
      <c r="Z15" s="61"/>
      <c r="AA15" s="61"/>
      <c r="AB15" s="61"/>
      <c r="AC15" s="62"/>
      <c r="AD15" s="60">
        <f>100-1.58</f>
        <v>98.42</v>
      </c>
      <c r="AE15" s="61"/>
      <c r="AF15" s="61"/>
      <c r="AG15" s="61"/>
      <c r="AH15" s="62"/>
      <c r="AJ15" s="12"/>
      <c r="AK15" s="12"/>
      <c r="AL15" s="74"/>
      <c r="AM15" s="75"/>
      <c r="AN15" s="75"/>
      <c r="AO15" s="75"/>
      <c r="AP15" s="75"/>
      <c r="AQ15" s="75"/>
      <c r="AR15" s="75"/>
      <c r="AS15" s="75"/>
      <c r="AT15" s="75"/>
      <c r="AU15" s="75"/>
      <c r="AV15" s="75"/>
      <c r="AW15" s="75"/>
      <c r="AX15" s="75"/>
      <c r="AY15" s="75"/>
      <c r="AZ15" s="76"/>
    </row>
    <row r="16" spans="5:52" x14ac:dyDescent="0.25">
      <c r="F16" s="6"/>
      <c r="G16" s="5"/>
      <c r="I16" s="59"/>
      <c r="J16" s="63"/>
      <c r="K16" s="49"/>
      <c r="L16" s="49"/>
      <c r="M16" s="49"/>
      <c r="N16" s="64"/>
      <c r="O16" s="63"/>
      <c r="P16" s="49"/>
      <c r="Q16" s="49"/>
      <c r="R16" s="49"/>
      <c r="S16" s="64"/>
      <c r="T16" s="63"/>
      <c r="U16" s="49"/>
      <c r="V16" s="49"/>
      <c r="W16" s="49"/>
      <c r="X16" s="64"/>
      <c r="Y16" s="63"/>
      <c r="Z16" s="49"/>
      <c r="AA16" s="49"/>
      <c r="AB16" s="49"/>
      <c r="AC16" s="64"/>
      <c r="AD16" s="63"/>
      <c r="AE16" s="49"/>
      <c r="AF16" s="49"/>
      <c r="AG16" s="49"/>
      <c r="AH16" s="64"/>
      <c r="AJ16" s="12"/>
      <c r="AK16" s="12"/>
      <c r="AL16" s="77"/>
      <c r="AM16" s="78"/>
      <c r="AN16" s="78"/>
      <c r="AO16" s="78"/>
      <c r="AP16" s="78"/>
      <c r="AQ16" s="78"/>
      <c r="AR16" s="78"/>
      <c r="AS16" s="78"/>
      <c r="AT16" s="78"/>
      <c r="AU16" s="78"/>
      <c r="AV16" s="78"/>
      <c r="AW16" s="78"/>
      <c r="AX16" s="78"/>
      <c r="AY16" s="78"/>
      <c r="AZ16" s="79"/>
    </row>
    <row r="17" spans="1:52" x14ac:dyDescent="0.25">
      <c r="E17" s="10"/>
      <c r="F17" s="6"/>
      <c r="G17" s="5"/>
      <c r="H17" s="12"/>
      <c r="I17" s="59"/>
      <c r="J17" s="63"/>
      <c r="K17" s="49"/>
      <c r="L17" s="49"/>
      <c r="M17" s="49"/>
      <c r="N17" s="64"/>
      <c r="O17" s="63"/>
      <c r="P17" s="49"/>
      <c r="Q17" s="49"/>
      <c r="R17" s="49"/>
      <c r="S17" s="64"/>
      <c r="T17" s="63"/>
      <c r="U17" s="49"/>
      <c r="V17" s="49"/>
      <c r="W17" s="49"/>
      <c r="X17" s="64"/>
      <c r="Y17" s="63"/>
      <c r="Z17" s="49"/>
      <c r="AA17" s="49"/>
      <c r="AB17" s="49"/>
      <c r="AC17" s="64"/>
      <c r="AD17" s="63"/>
      <c r="AE17" s="49"/>
      <c r="AF17" s="49"/>
      <c r="AG17" s="49"/>
      <c r="AH17" s="64"/>
      <c r="AJ17" s="12"/>
      <c r="AK17" s="12"/>
      <c r="AL17" s="50" t="s">
        <v>35</v>
      </c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2"/>
    </row>
    <row r="18" spans="1:52" x14ac:dyDescent="0.25">
      <c r="F18" s="6"/>
      <c r="G18" s="5"/>
      <c r="I18" s="59"/>
      <c r="J18" s="65">
        <v>13</v>
      </c>
      <c r="K18" s="66"/>
      <c r="L18" s="66"/>
      <c r="M18" s="66"/>
      <c r="N18" s="67"/>
      <c r="O18" s="65">
        <v>20</v>
      </c>
      <c r="P18" s="66"/>
      <c r="Q18" s="66"/>
      <c r="R18" s="66"/>
      <c r="S18" s="67"/>
      <c r="T18" s="65">
        <v>19</v>
      </c>
      <c r="U18" s="66"/>
      <c r="V18" s="66"/>
      <c r="W18" s="66"/>
      <c r="X18" s="67"/>
      <c r="Y18" s="65">
        <v>18</v>
      </c>
      <c r="Z18" s="66"/>
      <c r="AA18" s="66"/>
      <c r="AB18" s="66"/>
      <c r="AC18" s="67"/>
      <c r="AD18" s="65">
        <v>7</v>
      </c>
      <c r="AE18" s="66"/>
      <c r="AF18" s="66"/>
      <c r="AG18" s="66"/>
      <c r="AH18" s="67"/>
      <c r="AJ18" s="12"/>
      <c r="AK18" s="12"/>
      <c r="AL18" s="53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5"/>
    </row>
    <row r="19" spans="1:52" x14ac:dyDescent="0.25">
      <c r="E19" s="10"/>
      <c r="F19" s="6"/>
      <c r="G19" s="5"/>
      <c r="H19" s="12"/>
      <c r="I19" s="59"/>
      <c r="J19" s="68"/>
      <c r="K19" s="69"/>
      <c r="L19" s="69"/>
      <c r="M19" s="69"/>
      <c r="N19" s="70"/>
      <c r="O19" s="68"/>
      <c r="P19" s="69"/>
      <c r="Q19" s="69"/>
      <c r="R19" s="69"/>
      <c r="S19" s="70"/>
      <c r="T19" s="68"/>
      <c r="U19" s="69"/>
      <c r="V19" s="69"/>
      <c r="W19" s="69"/>
      <c r="X19" s="70"/>
      <c r="Y19" s="68"/>
      <c r="Z19" s="69"/>
      <c r="AA19" s="69"/>
      <c r="AB19" s="69"/>
      <c r="AC19" s="70"/>
      <c r="AD19" s="68"/>
      <c r="AE19" s="69"/>
      <c r="AF19" s="69"/>
      <c r="AG19" s="69"/>
      <c r="AH19" s="70"/>
      <c r="AJ19" s="12"/>
      <c r="AK19" s="12"/>
      <c r="AL19" s="50" t="s">
        <v>6</v>
      </c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1"/>
      <c r="AX19" s="51"/>
      <c r="AY19" s="51"/>
      <c r="AZ19" s="52"/>
    </row>
    <row r="20" spans="1:52" x14ac:dyDescent="0.25">
      <c r="F20" s="6"/>
      <c r="G20" s="5"/>
      <c r="I20" s="59">
        <v>10</v>
      </c>
      <c r="J20" s="60">
        <f>100-1.6</f>
        <v>98.4</v>
      </c>
      <c r="K20" s="61"/>
      <c r="L20" s="61"/>
      <c r="M20" s="61"/>
      <c r="N20" s="62"/>
      <c r="O20" s="60">
        <f>100-1.58</f>
        <v>98.42</v>
      </c>
      <c r="P20" s="61"/>
      <c r="Q20" s="61"/>
      <c r="R20" s="61"/>
      <c r="S20" s="62"/>
      <c r="T20" s="60">
        <f>100-1.55</f>
        <v>98.45</v>
      </c>
      <c r="U20" s="61"/>
      <c r="V20" s="61"/>
      <c r="W20" s="61"/>
      <c r="X20" s="62"/>
      <c r="Y20" s="60">
        <f>100-1.45</f>
        <v>98.55</v>
      </c>
      <c r="Z20" s="61"/>
      <c r="AA20" s="61"/>
      <c r="AB20" s="61"/>
      <c r="AC20" s="62"/>
      <c r="AD20" s="60">
        <f>100-1.49</f>
        <v>98.51</v>
      </c>
      <c r="AE20" s="61"/>
      <c r="AF20" s="61"/>
      <c r="AG20" s="61"/>
      <c r="AH20" s="62"/>
      <c r="AJ20" s="12"/>
      <c r="AK20" s="12"/>
      <c r="AL20" s="53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5"/>
    </row>
    <row r="21" spans="1:52" x14ac:dyDescent="0.25">
      <c r="F21" s="6"/>
      <c r="G21" s="5"/>
      <c r="I21" s="59"/>
      <c r="J21" s="63"/>
      <c r="K21" s="49"/>
      <c r="L21" s="49"/>
      <c r="M21" s="49"/>
      <c r="N21" s="64"/>
      <c r="O21" s="63"/>
      <c r="P21" s="49"/>
      <c r="Q21" s="49"/>
      <c r="R21" s="49"/>
      <c r="S21" s="64"/>
      <c r="T21" s="63"/>
      <c r="U21" s="49"/>
      <c r="V21" s="49"/>
      <c r="W21" s="49"/>
      <c r="X21" s="64"/>
      <c r="Y21" s="63"/>
      <c r="Z21" s="49"/>
      <c r="AA21" s="49"/>
      <c r="AB21" s="49"/>
      <c r="AC21" s="64"/>
      <c r="AD21" s="63"/>
      <c r="AE21" s="49"/>
      <c r="AF21" s="49"/>
      <c r="AG21" s="49"/>
      <c r="AH21" s="64"/>
      <c r="AJ21" s="12"/>
      <c r="AK21" s="12"/>
      <c r="AL21" s="50" t="s">
        <v>7</v>
      </c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  <c r="AY21" s="51"/>
      <c r="AZ21" s="52"/>
    </row>
    <row r="22" spans="1:52" x14ac:dyDescent="0.25">
      <c r="F22" s="6"/>
      <c r="G22" s="5"/>
      <c r="I22" s="59"/>
      <c r="J22" s="63"/>
      <c r="K22" s="49"/>
      <c r="L22" s="49"/>
      <c r="M22" s="49"/>
      <c r="N22" s="64"/>
      <c r="O22" s="63"/>
      <c r="P22" s="49"/>
      <c r="Q22" s="49"/>
      <c r="R22" s="49"/>
      <c r="S22" s="64"/>
      <c r="T22" s="63"/>
      <c r="U22" s="49"/>
      <c r="V22" s="49"/>
      <c r="W22" s="49"/>
      <c r="X22" s="64"/>
      <c r="Y22" s="63"/>
      <c r="Z22" s="49"/>
      <c r="AA22" s="49"/>
      <c r="AB22" s="49"/>
      <c r="AC22" s="64"/>
      <c r="AD22" s="63"/>
      <c r="AE22" s="49"/>
      <c r="AF22" s="49"/>
      <c r="AG22" s="49"/>
      <c r="AH22" s="64"/>
      <c r="AJ22" s="12"/>
      <c r="AK22" s="12"/>
      <c r="AL22" s="53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55"/>
    </row>
    <row r="23" spans="1:52" x14ac:dyDescent="0.25">
      <c r="F23" s="6"/>
      <c r="G23" s="5"/>
      <c r="I23" s="59"/>
      <c r="J23" s="65">
        <v>12</v>
      </c>
      <c r="K23" s="66"/>
      <c r="L23" s="66"/>
      <c r="M23" s="66"/>
      <c r="N23" s="67"/>
      <c r="O23" s="65">
        <v>11</v>
      </c>
      <c r="P23" s="66"/>
      <c r="Q23" s="66"/>
      <c r="R23" s="66"/>
      <c r="S23" s="67"/>
      <c r="T23" s="65">
        <v>10</v>
      </c>
      <c r="U23" s="66"/>
      <c r="V23" s="66"/>
      <c r="W23" s="66"/>
      <c r="X23" s="67"/>
      <c r="Y23" s="65">
        <v>9</v>
      </c>
      <c r="Z23" s="66"/>
      <c r="AA23" s="66"/>
      <c r="AB23" s="66"/>
      <c r="AC23" s="67"/>
      <c r="AD23" s="65">
        <v>8</v>
      </c>
      <c r="AE23" s="66"/>
      <c r="AF23" s="66"/>
      <c r="AG23" s="66"/>
      <c r="AH23" s="67"/>
      <c r="AJ23" s="12"/>
      <c r="AK23" s="12"/>
      <c r="AL23" s="50"/>
      <c r="AM23" s="51"/>
      <c r="AN23" s="51"/>
      <c r="AO23" s="51"/>
      <c r="AP23" s="51"/>
      <c r="AQ23" s="51"/>
      <c r="AR23" s="51"/>
      <c r="AS23" s="51"/>
      <c r="AT23" s="51"/>
      <c r="AU23" s="51"/>
      <c r="AV23" s="51"/>
      <c r="AW23" s="51"/>
      <c r="AX23" s="51"/>
      <c r="AY23" s="51"/>
      <c r="AZ23" s="52"/>
    </row>
    <row r="24" spans="1:52" x14ac:dyDescent="0.25">
      <c r="F24" s="9"/>
      <c r="G24" s="7"/>
      <c r="I24" s="59"/>
      <c r="J24" s="68"/>
      <c r="K24" s="69"/>
      <c r="L24" s="69"/>
      <c r="M24" s="69"/>
      <c r="N24" s="70"/>
      <c r="O24" s="68"/>
      <c r="P24" s="69"/>
      <c r="Q24" s="69"/>
      <c r="R24" s="69"/>
      <c r="S24" s="70"/>
      <c r="T24" s="68"/>
      <c r="U24" s="69"/>
      <c r="V24" s="69"/>
      <c r="W24" s="69"/>
      <c r="X24" s="70"/>
      <c r="Y24" s="68"/>
      <c r="Z24" s="69"/>
      <c r="AA24" s="69"/>
      <c r="AB24" s="69"/>
      <c r="AC24" s="70"/>
      <c r="AD24" s="68"/>
      <c r="AE24" s="69"/>
      <c r="AF24" s="69"/>
      <c r="AG24" s="69"/>
      <c r="AH24" s="70"/>
      <c r="AJ24" s="12"/>
      <c r="AK24" s="12"/>
      <c r="AL24" s="53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5"/>
    </row>
    <row r="25" spans="1:52" x14ac:dyDescent="0.25"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</row>
    <row r="27" spans="1:52" x14ac:dyDescent="0.25">
      <c r="H27" s="7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49">
        <f>U1</f>
        <v>50</v>
      </c>
      <c r="Z27" s="49"/>
      <c r="AA27" s="49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9"/>
    </row>
    <row r="28" spans="1:52" x14ac:dyDescent="0.25">
      <c r="A28" s="12"/>
      <c r="B28" s="12"/>
      <c r="C28" s="12"/>
      <c r="D28" s="12"/>
      <c r="E28" s="12"/>
      <c r="F28" s="12"/>
      <c r="G28" s="12"/>
      <c r="H28" s="18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49"/>
      <c r="Z28" s="49"/>
      <c r="AA28" s="4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31"/>
      <c r="AS28" s="12"/>
      <c r="AT28" s="12"/>
      <c r="AU28" s="12"/>
      <c r="AV28" s="12"/>
      <c r="AW28" s="12"/>
      <c r="AX28" s="12"/>
      <c r="AY28" s="12"/>
      <c r="AZ28" s="12"/>
    </row>
    <row r="29" spans="1:52" x14ac:dyDescent="0.25">
      <c r="A29" s="56" t="s">
        <v>9</v>
      </c>
      <c r="B29" s="56"/>
      <c r="C29" s="56"/>
      <c r="D29" s="56"/>
      <c r="E29" s="24"/>
      <c r="F29" s="28"/>
      <c r="G29" s="25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4"/>
      <c r="AT29" s="28"/>
      <c r="AU29" s="25"/>
      <c r="AV29" s="12"/>
      <c r="AW29" s="12"/>
      <c r="AX29" s="26"/>
      <c r="AY29" s="26"/>
      <c r="AZ29" s="26"/>
    </row>
    <row r="30" spans="1:52" x14ac:dyDescent="0.25">
      <c r="A30" s="57" t="s">
        <v>10</v>
      </c>
      <c r="B30" s="57"/>
      <c r="C30" s="57"/>
      <c r="D30" s="57"/>
      <c r="E30" s="27"/>
      <c r="F30" s="27"/>
      <c r="G30" s="29"/>
      <c r="H30" s="11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3"/>
      <c r="AS30" s="12"/>
      <c r="AT30" s="12"/>
      <c r="AU30" s="12"/>
      <c r="AV30" s="31"/>
      <c r="AW30" s="18"/>
      <c r="AX30" s="12"/>
      <c r="AY30" s="12"/>
      <c r="AZ30" s="12"/>
    </row>
    <row r="31" spans="1:52" x14ac:dyDescent="0.25">
      <c r="A31" s="47"/>
      <c r="B31" s="47"/>
      <c r="C31" s="47"/>
      <c r="D31" s="47"/>
      <c r="E31" s="23"/>
      <c r="F31" s="23"/>
      <c r="G31" s="30"/>
      <c r="H31" s="14"/>
      <c r="I31" s="15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5"/>
      <c r="AR31" s="16"/>
      <c r="AS31" s="12"/>
      <c r="AT31" s="12"/>
      <c r="AU31" s="12"/>
      <c r="AV31" s="13"/>
      <c r="AW31" s="11"/>
      <c r="AX31" s="12"/>
      <c r="AY31" s="12"/>
      <c r="AZ31" s="12"/>
    </row>
    <row r="32" spans="1:52" x14ac:dyDescent="0.25">
      <c r="A32" s="58" t="s">
        <v>11</v>
      </c>
      <c r="B32" s="58"/>
      <c r="C32" s="58"/>
      <c r="D32" s="58"/>
      <c r="E32" s="12"/>
      <c r="F32" s="12"/>
      <c r="G32" s="12"/>
      <c r="H32" s="12"/>
      <c r="I32" s="13"/>
      <c r="J32" s="11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3"/>
      <c r="AQ32" s="12"/>
      <c r="AR32" s="12"/>
      <c r="AS32" s="12"/>
      <c r="AT32" s="12"/>
      <c r="AU32" s="49">
        <v>2.2000000000000002</v>
      </c>
      <c r="AV32" s="49"/>
      <c r="AW32" s="49"/>
      <c r="AX32" s="49"/>
      <c r="AY32" s="12"/>
      <c r="AZ32" s="12"/>
    </row>
    <row r="33" spans="1:52" x14ac:dyDescent="0.25">
      <c r="A33" s="47"/>
      <c r="B33" s="47"/>
      <c r="C33" s="47"/>
      <c r="D33" s="47"/>
      <c r="E33" s="23"/>
      <c r="F33" s="23"/>
      <c r="G33" s="23"/>
      <c r="H33" s="23"/>
      <c r="I33" s="30"/>
      <c r="J33" s="14"/>
      <c r="K33" s="15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5"/>
      <c r="AP33" s="16"/>
      <c r="AQ33" s="12"/>
      <c r="AR33" s="12"/>
      <c r="AS33" s="12"/>
      <c r="AT33" s="12"/>
      <c r="AU33" s="10"/>
      <c r="AV33" s="34"/>
      <c r="AW33" s="33"/>
      <c r="AX33" s="10"/>
      <c r="AY33" s="12"/>
      <c r="AZ33" s="12"/>
    </row>
    <row r="34" spans="1:52" ht="6.95" customHeight="1" x14ac:dyDescent="0.25">
      <c r="A34" s="46" t="s">
        <v>36</v>
      </c>
      <c r="B34" s="46"/>
      <c r="C34" s="46"/>
      <c r="D34" s="46"/>
      <c r="E34" s="12"/>
      <c r="F34" s="12"/>
      <c r="G34" s="12"/>
      <c r="H34" s="12"/>
      <c r="I34" s="12"/>
      <c r="J34" s="12"/>
      <c r="K34" s="12"/>
      <c r="L34" s="11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3"/>
      <c r="AO34" s="12"/>
      <c r="AP34" s="12"/>
      <c r="AQ34" s="12"/>
      <c r="AR34" s="12"/>
      <c r="AS34" s="12"/>
      <c r="AT34" s="12"/>
      <c r="AU34" s="33"/>
      <c r="AV34" s="34"/>
      <c r="AW34" s="33"/>
      <c r="AX34" s="33"/>
      <c r="AY34" s="12"/>
      <c r="AZ34" s="12"/>
    </row>
    <row r="35" spans="1:52" ht="6.95" customHeight="1" x14ac:dyDescent="0.25">
      <c r="A35" s="47"/>
      <c r="B35" s="47"/>
      <c r="C35" s="47"/>
      <c r="D35" s="47"/>
      <c r="E35" s="23"/>
      <c r="F35" s="23"/>
      <c r="G35" s="23"/>
      <c r="H35" s="23"/>
      <c r="I35" s="23"/>
      <c r="J35" s="23"/>
      <c r="K35" s="30"/>
      <c r="L35" s="14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6"/>
      <c r="AO35" s="12"/>
      <c r="AP35" s="12"/>
      <c r="AQ35" s="12"/>
      <c r="AR35" s="12"/>
      <c r="AS35" s="12"/>
      <c r="AT35" s="12"/>
      <c r="AU35" s="12"/>
      <c r="AV35" s="16"/>
      <c r="AW35" s="14"/>
      <c r="AX35" s="12"/>
      <c r="AY35" s="12"/>
      <c r="AZ35" s="12"/>
    </row>
    <row r="36" spans="1:52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</row>
    <row r="37" spans="1:52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4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49">
        <f>Y27-4</f>
        <v>46</v>
      </c>
      <c r="Z37" s="49"/>
      <c r="AA37" s="49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6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</row>
    <row r="38" spans="1:52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8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49"/>
      <c r="Z38" s="49"/>
      <c r="AA38" s="4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31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</row>
    <row r="39" spans="1:52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</row>
    <row r="40" spans="1:52" x14ac:dyDescent="0.25"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</row>
    <row r="41" spans="1:52" x14ac:dyDescent="0.25">
      <c r="A41" s="48" t="s">
        <v>13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</row>
    <row r="42" spans="1:52" x14ac:dyDescent="0.25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</row>
    <row r="43" spans="1:52" x14ac:dyDescent="0.25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</row>
  </sheetData>
  <mergeCells count="79">
    <mergeCell ref="AD4:AH4"/>
    <mergeCell ref="AD13:AH14"/>
    <mergeCell ref="I5:I9"/>
    <mergeCell ref="J5:N7"/>
    <mergeCell ref="O5:S7"/>
    <mergeCell ref="T5:X7"/>
    <mergeCell ref="I10:I14"/>
    <mergeCell ref="AD10:AH12"/>
    <mergeCell ref="Y4:AC4"/>
    <mergeCell ref="J4:N4"/>
    <mergeCell ref="O4:S4"/>
    <mergeCell ref="T4:X4"/>
    <mergeCell ref="AL11:AZ16"/>
    <mergeCell ref="J13:N14"/>
    <mergeCell ref="O13:S14"/>
    <mergeCell ref="T13:X14"/>
    <mergeCell ref="T10:X12"/>
    <mergeCell ref="Y10:AC12"/>
    <mergeCell ref="AL9:AP10"/>
    <mergeCell ref="AQ9:AU10"/>
    <mergeCell ref="AV9:AZ10"/>
    <mergeCell ref="J10:N12"/>
    <mergeCell ref="O10:S12"/>
    <mergeCell ref="Y13:AC14"/>
    <mergeCell ref="AD15:AH17"/>
    <mergeCell ref="AL17:AZ18"/>
    <mergeCell ref="J18:N19"/>
    <mergeCell ref="O18:S19"/>
    <mergeCell ref="AD23:AH24"/>
    <mergeCell ref="T18:X19"/>
    <mergeCell ref="Y15:AC17"/>
    <mergeCell ref="Y18:AC19"/>
    <mergeCell ref="AD18:AH19"/>
    <mergeCell ref="T15:X17"/>
    <mergeCell ref="J20:N22"/>
    <mergeCell ref="O20:S22"/>
    <mergeCell ref="T20:X22"/>
    <mergeCell ref="I20:I24"/>
    <mergeCell ref="I15:I19"/>
    <mergeCell ref="J15:N17"/>
    <mergeCell ref="O15:S17"/>
    <mergeCell ref="AQ5:AU6"/>
    <mergeCell ref="AV5:AZ6"/>
    <mergeCell ref="Y8:AC9"/>
    <mergeCell ref="AD8:AH9"/>
    <mergeCell ref="Y5:AC7"/>
    <mergeCell ref="AD5:AH7"/>
    <mergeCell ref="A41:AZ43"/>
    <mergeCell ref="J8:N9"/>
    <mergeCell ref="O8:S9"/>
    <mergeCell ref="T8:X9"/>
    <mergeCell ref="Y23:AC24"/>
    <mergeCell ref="Y27:AA28"/>
    <mergeCell ref="T23:X24"/>
    <mergeCell ref="Y20:AC22"/>
    <mergeCell ref="AD20:AH22"/>
    <mergeCell ref="AL21:AZ22"/>
    <mergeCell ref="E14:H15"/>
    <mergeCell ref="AL19:AZ20"/>
    <mergeCell ref="AU32:AX32"/>
    <mergeCell ref="AL7:AP8"/>
    <mergeCell ref="AQ7:AU8"/>
    <mergeCell ref="AV7:AZ8"/>
    <mergeCell ref="Y37:AA38"/>
    <mergeCell ref="A34:D35"/>
    <mergeCell ref="AL1:AP2"/>
    <mergeCell ref="AQ1:AU2"/>
    <mergeCell ref="A29:D29"/>
    <mergeCell ref="A30:D31"/>
    <mergeCell ref="A32:D33"/>
    <mergeCell ref="AL23:AZ24"/>
    <mergeCell ref="J23:N24"/>
    <mergeCell ref="O23:S24"/>
    <mergeCell ref="AV1:AZ2"/>
    <mergeCell ref="AL3:AP4"/>
    <mergeCell ref="AQ3:AU4"/>
    <mergeCell ref="AV3:AZ4"/>
    <mergeCell ref="U1:W2"/>
    <mergeCell ref="AL5:AP6"/>
  </mergeCells>
  <phoneticPr fontId="1" type="noConversion"/>
  <pageMargins left="0.7" right="0.7" top="0.75" bottom="0.75" header="0.3" footer="0.3"/>
  <pageSetup paperSize="9" scale="75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77921-B363-42A5-B315-A10F059B0817}">
  <sheetPr>
    <pageSetUpPr fitToPage="1"/>
  </sheetPr>
  <dimension ref="A1:AZ58"/>
  <sheetViews>
    <sheetView workbookViewId="0">
      <selection activeCell="A10" sqref="A10:XFD14"/>
    </sheetView>
  </sheetViews>
  <sheetFormatPr defaultColWidth="2.7109375" defaultRowHeight="15" x14ac:dyDescent="0.25"/>
  <cols>
    <col min="1" max="7" width="2.7109375" style="1"/>
    <col min="8" max="8" width="2.7109375" style="1" customWidth="1"/>
    <col min="9" max="16384" width="2.7109375" style="1"/>
  </cols>
  <sheetData>
    <row r="1" spans="5:51" x14ac:dyDescent="0.25">
      <c r="I1" s="7"/>
      <c r="J1" s="8"/>
      <c r="K1" s="8"/>
      <c r="L1" s="8"/>
      <c r="M1" s="8"/>
      <c r="N1" s="8"/>
      <c r="O1" s="8"/>
      <c r="P1" s="8"/>
      <c r="Q1" s="8"/>
      <c r="R1" s="8"/>
      <c r="S1" s="8"/>
      <c r="T1" s="49">
        <f>SUM(I4:AG4)</f>
        <v>50</v>
      </c>
      <c r="U1" s="66"/>
      <c r="V1" s="66"/>
      <c r="W1" s="8"/>
      <c r="X1" s="8"/>
      <c r="Y1" s="8"/>
      <c r="Z1" s="8"/>
      <c r="AA1" s="8"/>
      <c r="AB1" s="8"/>
      <c r="AC1" s="8"/>
      <c r="AD1" s="8"/>
      <c r="AE1" s="8"/>
      <c r="AF1" s="8"/>
      <c r="AG1" s="9"/>
    </row>
    <row r="2" spans="5:51" x14ac:dyDescent="0.25"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66"/>
      <c r="U2" s="66"/>
      <c r="V2" s="66"/>
      <c r="W2" s="3"/>
      <c r="X2" s="3"/>
      <c r="Y2" s="3"/>
      <c r="Z2" s="3"/>
      <c r="AA2" s="3"/>
      <c r="AB2" s="3"/>
      <c r="AC2" s="3"/>
      <c r="AD2" s="3"/>
      <c r="AE2" s="3"/>
      <c r="AF2" s="3"/>
      <c r="AG2" s="4"/>
    </row>
    <row r="4" spans="5:51" x14ac:dyDescent="0.25">
      <c r="I4" s="82">
        <v>10</v>
      </c>
      <c r="J4" s="82"/>
      <c r="K4" s="82"/>
      <c r="L4" s="82"/>
      <c r="M4" s="82"/>
      <c r="N4" s="82">
        <v>10</v>
      </c>
      <c r="O4" s="82"/>
      <c r="P4" s="82"/>
      <c r="Q4" s="82"/>
      <c r="R4" s="82"/>
      <c r="S4" s="82">
        <v>10</v>
      </c>
      <c r="T4" s="82"/>
      <c r="U4" s="82"/>
      <c r="V4" s="82"/>
      <c r="W4" s="82"/>
      <c r="X4" s="82">
        <v>10</v>
      </c>
      <c r="Y4" s="82"/>
      <c r="Z4" s="82"/>
      <c r="AA4" s="82"/>
      <c r="AB4" s="82"/>
      <c r="AC4" s="82">
        <v>10</v>
      </c>
      <c r="AD4" s="82"/>
      <c r="AE4" s="82"/>
      <c r="AF4" s="82"/>
      <c r="AG4" s="82"/>
      <c r="AK4" s="83" t="s">
        <v>0</v>
      </c>
      <c r="AL4" s="83"/>
      <c r="AM4" s="83"/>
      <c r="AN4" s="83"/>
      <c r="AO4" s="83"/>
      <c r="AP4" s="83" t="s">
        <v>1</v>
      </c>
      <c r="AQ4" s="83"/>
      <c r="AR4" s="83"/>
      <c r="AS4" s="83"/>
      <c r="AT4" s="83"/>
      <c r="AU4" s="83" t="s">
        <v>2</v>
      </c>
      <c r="AV4" s="83"/>
      <c r="AW4" s="83"/>
      <c r="AX4" s="83"/>
      <c r="AY4" s="83"/>
    </row>
    <row r="5" spans="5:51" x14ac:dyDescent="0.25">
      <c r="E5" s="4"/>
      <c r="F5" s="2"/>
      <c r="H5" s="59">
        <v>10</v>
      </c>
      <c r="I5" s="60">
        <f>100-1.35</f>
        <v>98.65</v>
      </c>
      <c r="J5" s="61"/>
      <c r="K5" s="61"/>
      <c r="L5" s="61"/>
      <c r="M5" s="62"/>
      <c r="N5" s="60">
        <f>100-1.39</f>
        <v>98.61</v>
      </c>
      <c r="O5" s="61"/>
      <c r="P5" s="61"/>
      <c r="Q5" s="61"/>
      <c r="R5" s="62"/>
      <c r="S5" s="60">
        <f>100-1.32</f>
        <v>98.68</v>
      </c>
      <c r="T5" s="61"/>
      <c r="U5" s="61"/>
      <c r="V5" s="61"/>
      <c r="W5" s="62"/>
      <c r="X5" s="60">
        <f>100-1.32</f>
        <v>98.68</v>
      </c>
      <c r="Y5" s="61"/>
      <c r="Z5" s="61"/>
      <c r="AA5" s="61"/>
      <c r="AB5" s="62"/>
      <c r="AC5" s="60">
        <f>100-1.32</f>
        <v>98.68</v>
      </c>
      <c r="AD5" s="61"/>
      <c r="AE5" s="61"/>
      <c r="AF5" s="61"/>
      <c r="AG5" s="62"/>
      <c r="AK5" s="83"/>
      <c r="AL5" s="83"/>
      <c r="AM5" s="83"/>
      <c r="AN5" s="83"/>
      <c r="AO5" s="83"/>
      <c r="AP5" s="83"/>
      <c r="AQ5" s="83"/>
      <c r="AR5" s="83"/>
      <c r="AS5" s="83"/>
      <c r="AT5" s="83"/>
      <c r="AU5" s="83"/>
      <c r="AV5" s="83"/>
      <c r="AW5" s="83"/>
      <c r="AX5" s="83"/>
      <c r="AY5" s="83"/>
    </row>
    <row r="6" spans="5:51" x14ac:dyDescent="0.25">
      <c r="E6" s="6"/>
      <c r="F6" s="5"/>
      <c r="H6" s="59"/>
      <c r="I6" s="63"/>
      <c r="J6" s="49"/>
      <c r="K6" s="49"/>
      <c r="L6" s="49"/>
      <c r="M6" s="64"/>
      <c r="N6" s="63"/>
      <c r="O6" s="49"/>
      <c r="P6" s="49"/>
      <c r="Q6" s="49"/>
      <c r="R6" s="64"/>
      <c r="S6" s="63"/>
      <c r="T6" s="49"/>
      <c r="U6" s="49"/>
      <c r="V6" s="49"/>
      <c r="W6" s="64"/>
      <c r="X6" s="63"/>
      <c r="Y6" s="49"/>
      <c r="Z6" s="49"/>
      <c r="AA6" s="49"/>
      <c r="AB6" s="64"/>
      <c r="AC6" s="63"/>
      <c r="AD6" s="49"/>
      <c r="AE6" s="49"/>
      <c r="AF6" s="49"/>
      <c r="AG6" s="64"/>
      <c r="AK6" s="80" t="s">
        <v>16</v>
      </c>
      <c r="AL6" s="80"/>
      <c r="AM6" s="80"/>
      <c r="AN6" s="80"/>
      <c r="AO6" s="80"/>
      <c r="AP6" s="81">
        <f>SUM(I5+N5+S5+X5+AC5+AC10+AC15+AC20+AC25+AC30+AC35+X35+S35+N35+I35+I30+I25+I20+I15+I10)/20</f>
        <v>98.594999999999999</v>
      </c>
      <c r="AQ6" s="81"/>
      <c r="AR6" s="81"/>
      <c r="AS6" s="81"/>
      <c r="AT6" s="81"/>
      <c r="AU6" s="81">
        <f>100-AP6</f>
        <v>1.4050000000000011</v>
      </c>
      <c r="AV6" s="81"/>
      <c r="AW6" s="81"/>
      <c r="AX6" s="81"/>
      <c r="AY6" s="81"/>
    </row>
    <row r="7" spans="5:51" x14ac:dyDescent="0.25">
      <c r="E7" s="6"/>
      <c r="F7" s="5"/>
      <c r="H7" s="59"/>
      <c r="I7" s="63"/>
      <c r="J7" s="49"/>
      <c r="K7" s="49"/>
      <c r="L7" s="49"/>
      <c r="M7" s="64"/>
      <c r="N7" s="63"/>
      <c r="O7" s="49"/>
      <c r="P7" s="49"/>
      <c r="Q7" s="49"/>
      <c r="R7" s="64"/>
      <c r="S7" s="63"/>
      <c r="T7" s="49"/>
      <c r="U7" s="49"/>
      <c r="V7" s="49"/>
      <c r="W7" s="64"/>
      <c r="X7" s="63"/>
      <c r="Y7" s="49"/>
      <c r="Z7" s="49"/>
      <c r="AA7" s="49"/>
      <c r="AB7" s="64"/>
      <c r="AC7" s="63"/>
      <c r="AD7" s="49"/>
      <c r="AE7" s="49"/>
      <c r="AF7" s="49"/>
      <c r="AG7" s="64"/>
      <c r="AK7" s="80"/>
      <c r="AL7" s="80"/>
      <c r="AM7" s="80"/>
      <c r="AN7" s="80"/>
      <c r="AO7" s="80"/>
      <c r="AP7" s="81"/>
      <c r="AQ7" s="81"/>
      <c r="AR7" s="81"/>
      <c r="AS7" s="81"/>
      <c r="AT7" s="81"/>
      <c r="AU7" s="81"/>
      <c r="AV7" s="81"/>
      <c r="AW7" s="81"/>
      <c r="AX7" s="81"/>
      <c r="AY7" s="81"/>
    </row>
    <row r="8" spans="5:51" x14ac:dyDescent="0.25">
      <c r="E8" s="6"/>
      <c r="F8" s="5"/>
      <c r="H8" s="59"/>
      <c r="I8" s="65">
        <v>1</v>
      </c>
      <c r="J8" s="66"/>
      <c r="K8" s="66"/>
      <c r="L8" s="66"/>
      <c r="M8" s="67"/>
      <c r="N8" s="65">
        <v>2</v>
      </c>
      <c r="O8" s="66"/>
      <c r="P8" s="66"/>
      <c r="Q8" s="66"/>
      <c r="R8" s="67"/>
      <c r="S8" s="65">
        <v>3</v>
      </c>
      <c r="T8" s="66"/>
      <c r="U8" s="66"/>
      <c r="V8" s="66"/>
      <c r="W8" s="67"/>
      <c r="X8" s="65">
        <v>4</v>
      </c>
      <c r="Y8" s="66"/>
      <c r="Z8" s="66"/>
      <c r="AA8" s="66"/>
      <c r="AB8" s="67"/>
      <c r="AC8" s="65">
        <v>5</v>
      </c>
      <c r="AD8" s="66"/>
      <c r="AE8" s="66"/>
      <c r="AF8" s="66"/>
      <c r="AG8" s="67"/>
      <c r="AK8" s="80" t="s">
        <v>15</v>
      </c>
      <c r="AL8" s="80"/>
      <c r="AM8" s="80"/>
      <c r="AN8" s="80"/>
      <c r="AO8" s="80"/>
      <c r="AP8" s="81">
        <f>SUM(N10+S10+X10+X15+X20+X25+X30+S30+N30+N25+N20+N15+S15+S20+S25)/15</f>
        <v>98.197400000000002</v>
      </c>
      <c r="AQ8" s="81"/>
      <c r="AR8" s="81"/>
      <c r="AS8" s="81"/>
      <c r="AT8" s="81"/>
      <c r="AU8" s="81">
        <f>100-AP8</f>
        <v>1.8025999999999982</v>
      </c>
      <c r="AV8" s="81"/>
      <c r="AW8" s="81"/>
      <c r="AX8" s="81"/>
      <c r="AY8" s="81"/>
    </row>
    <row r="9" spans="5:51" x14ac:dyDescent="0.25">
      <c r="E9" s="6"/>
      <c r="F9" s="5"/>
      <c r="H9" s="59"/>
      <c r="I9" s="68"/>
      <c r="J9" s="69"/>
      <c r="K9" s="69"/>
      <c r="L9" s="69"/>
      <c r="M9" s="70"/>
      <c r="N9" s="68"/>
      <c r="O9" s="69"/>
      <c r="P9" s="69"/>
      <c r="Q9" s="69"/>
      <c r="R9" s="70"/>
      <c r="S9" s="68"/>
      <c r="T9" s="69"/>
      <c r="U9" s="69"/>
      <c r="V9" s="69"/>
      <c r="W9" s="70"/>
      <c r="X9" s="68"/>
      <c r="Y9" s="69"/>
      <c r="Z9" s="69"/>
      <c r="AA9" s="69"/>
      <c r="AB9" s="70"/>
      <c r="AC9" s="68"/>
      <c r="AD9" s="69"/>
      <c r="AE9" s="69"/>
      <c r="AF9" s="69"/>
      <c r="AG9" s="70"/>
      <c r="AK9" s="80"/>
      <c r="AL9" s="80"/>
      <c r="AM9" s="80"/>
      <c r="AN9" s="80"/>
      <c r="AO9" s="80"/>
      <c r="AP9" s="81"/>
      <c r="AQ9" s="81"/>
      <c r="AR9" s="81"/>
      <c r="AS9" s="81"/>
      <c r="AT9" s="81"/>
      <c r="AU9" s="81"/>
      <c r="AV9" s="81"/>
      <c r="AW9" s="81"/>
      <c r="AX9" s="81"/>
      <c r="AY9" s="81"/>
    </row>
    <row r="10" spans="5:51" x14ac:dyDescent="0.25">
      <c r="E10" s="6"/>
      <c r="F10" s="5"/>
      <c r="H10" s="59">
        <v>10</v>
      </c>
      <c r="I10" s="60">
        <f>100-1.45</f>
        <v>98.55</v>
      </c>
      <c r="J10" s="61"/>
      <c r="K10" s="61"/>
      <c r="L10" s="61"/>
      <c r="M10" s="62"/>
      <c r="N10" s="60">
        <f>SUM(I10+I5+N5)/3-0.37</f>
        <v>98.233333333333334</v>
      </c>
      <c r="O10" s="61"/>
      <c r="P10" s="61"/>
      <c r="Q10" s="61"/>
      <c r="R10" s="62"/>
      <c r="S10" s="60">
        <f>S5-0.35</f>
        <v>98.330000000000013</v>
      </c>
      <c r="T10" s="61"/>
      <c r="U10" s="61"/>
      <c r="V10" s="61"/>
      <c r="W10" s="62"/>
      <c r="X10" s="60">
        <f>SUM(X5+AC5+AC10)/3-0.37</f>
        <v>98.3</v>
      </c>
      <c r="Y10" s="61"/>
      <c r="Z10" s="61"/>
      <c r="AA10" s="61"/>
      <c r="AB10" s="62"/>
      <c r="AC10" s="60">
        <f>100-1.35</f>
        <v>98.65</v>
      </c>
      <c r="AD10" s="61"/>
      <c r="AE10" s="61"/>
      <c r="AF10" s="61"/>
      <c r="AG10" s="62"/>
      <c r="AK10" s="80"/>
      <c r="AL10" s="80"/>
      <c r="AM10" s="80"/>
      <c r="AN10" s="80"/>
      <c r="AO10" s="80"/>
      <c r="AP10" s="81"/>
      <c r="AQ10" s="81"/>
      <c r="AR10" s="81"/>
      <c r="AS10" s="81"/>
      <c r="AT10" s="81"/>
      <c r="AU10" s="81"/>
      <c r="AV10" s="81"/>
      <c r="AW10" s="81"/>
      <c r="AX10" s="81"/>
      <c r="AY10" s="81"/>
    </row>
    <row r="11" spans="5:51" x14ac:dyDescent="0.25">
      <c r="E11" s="6"/>
      <c r="F11" s="5"/>
      <c r="H11" s="59"/>
      <c r="I11" s="63"/>
      <c r="J11" s="49"/>
      <c r="K11" s="49"/>
      <c r="L11" s="49"/>
      <c r="M11" s="64"/>
      <c r="N11" s="63"/>
      <c r="O11" s="49"/>
      <c r="P11" s="49"/>
      <c r="Q11" s="49"/>
      <c r="R11" s="64"/>
      <c r="S11" s="63"/>
      <c r="T11" s="49"/>
      <c r="U11" s="49"/>
      <c r="V11" s="49"/>
      <c r="W11" s="64"/>
      <c r="X11" s="63"/>
      <c r="Y11" s="49"/>
      <c r="Z11" s="49"/>
      <c r="AA11" s="49"/>
      <c r="AB11" s="64"/>
      <c r="AC11" s="63"/>
      <c r="AD11" s="49"/>
      <c r="AE11" s="49"/>
      <c r="AF11" s="49"/>
      <c r="AG11" s="64"/>
      <c r="AK11" s="80"/>
      <c r="AL11" s="80"/>
      <c r="AM11" s="80"/>
      <c r="AN11" s="80"/>
      <c r="AO11" s="80"/>
      <c r="AP11" s="81"/>
      <c r="AQ11" s="81"/>
      <c r="AR11" s="81"/>
      <c r="AS11" s="81"/>
      <c r="AT11" s="81"/>
      <c r="AU11" s="81"/>
      <c r="AV11" s="81"/>
      <c r="AW11" s="81"/>
      <c r="AX11" s="81"/>
      <c r="AY11" s="81"/>
    </row>
    <row r="12" spans="5:51" x14ac:dyDescent="0.25">
      <c r="E12" s="6"/>
      <c r="F12" s="5"/>
      <c r="H12" s="59"/>
      <c r="I12" s="63"/>
      <c r="J12" s="49"/>
      <c r="K12" s="49"/>
      <c r="L12" s="49"/>
      <c r="M12" s="64"/>
      <c r="N12" s="63"/>
      <c r="O12" s="49"/>
      <c r="P12" s="49"/>
      <c r="Q12" s="49"/>
      <c r="R12" s="64"/>
      <c r="S12" s="63"/>
      <c r="T12" s="49"/>
      <c r="U12" s="49"/>
      <c r="V12" s="49"/>
      <c r="W12" s="64"/>
      <c r="X12" s="63"/>
      <c r="Y12" s="49"/>
      <c r="Z12" s="49"/>
      <c r="AA12" s="49"/>
      <c r="AB12" s="64"/>
      <c r="AC12" s="63"/>
      <c r="AD12" s="49"/>
      <c r="AE12" s="49"/>
      <c r="AF12" s="49"/>
      <c r="AG12" s="64"/>
      <c r="AK12" s="80"/>
      <c r="AL12" s="80"/>
      <c r="AM12" s="80"/>
      <c r="AN12" s="80"/>
      <c r="AO12" s="80"/>
      <c r="AP12" s="81"/>
      <c r="AQ12" s="81"/>
      <c r="AR12" s="81"/>
      <c r="AS12" s="81"/>
      <c r="AT12" s="81"/>
      <c r="AU12" s="81"/>
      <c r="AV12" s="81"/>
      <c r="AW12" s="81"/>
      <c r="AX12" s="81"/>
      <c r="AY12" s="81"/>
    </row>
    <row r="13" spans="5:51" x14ac:dyDescent="0.25">
      <c r="E13" s="6"/>
      <c r="F13" s="5"/>
      <c r="H13" s="59"/>
      <c r="I13" s="65">
        <v>20</v>
      </c>
      <c r="J13" s="66"/>
      <c r="K13" s="66"/>
      <c r="L13" s="66"/>
      <c r="M13" s="67"/>
      <c r="N13" s="65">
        <v>21</v>
      </c>
      <c r="O13" s="66"/>
      <c r="P13" s="66"/>
      <c r="Q13" s="66"/>
      <c r="R13" s="67"/>
      <c r="S13" s="65">
        <v>22</v>
      </c>
      <c r="T13" s="66"/>
      <c r="U13" s="66"/>
      <c r="V13" s="66"/>
      <c r="W13" s="67"/>
      <c r="X13" s="65">
        <v>23</v>
      </c>
      <c r="Y13" s="66"/>
      <c r="Z13" s="66"/>
      <c r="AA13" s="66"/>
      <c r="AB13" s="67"/>
      <c r="AC13" s="65">
        <v>6</v>
      </c>
      <c r="AD13" s="66"/>
      <c r="AE13" s="66"/>
      <c r="AF13" s="66"/>
      <c r="AG13" s="67"/>
      <c r="AK13" s="80"/>
      <c r="AL13" s="80"/>
      <c r="AM13" s="80"/>
      <c r="AN13" s="80"/>
      <c r="AO13" s="80"/>
      <c r="AP13" s="81"/>
      <c r="AQ13" s="81"/>
      <c r="AR13" s="81"/>
      <c r="AS13" s="81"/>
      <c r="AT13" s="81"/>
      <c r="AU13" s="81"/>
      <c r="AV13" s="81"/>
      <c r="AW13" s="81"/>
      <c r="AX13" s="81"/>
      <c r="AY13" s="81"/>
    </row>
    <row r="14" spans="5:51" x14ac:dyDescent="0.25">
      <c r="E14" s="6"/>
      <c r="F14" s="5"/>
      <c r="H14" s="59"/>
      <c r="I14" s="68"/>
      <c r="J14" s="69"/>
      <c r="K14" s="69"/>
      <c r="L14" s="69"/>
      <c r="M14" s="70"/>
      <c r="N14" s="68"/>
      <c r="O14" s="69"/>
      <c r="P14" s="69"/>
      <c r="Q14" s="69"/>
      <c r="R14" s="70"/>
      <c r="S14" s="68"/>
      <c r="T14" s="69"/>
      <c r="U14" s="69"/>
      <c r="V14" s="69"/>
      <c r="W14" s="70"/>
      <c r="X14" s="68"/>
      <c r="Y14" s="69"/>
      <c r="Z14" s="69"/>
      <c r="AA14" s="69"/>
      <c r="AB14" s="70"/>
      <c r="AC14" s="68"/>
      <c r="AD14" s="69"/>
      <c r="AE14" s="69"/>
      <c r="AF14" s="69"/>
      <c r="AG14" s="70"/>
      <c r="AK14" s="80"/>
      <c r="AL14" s="80"/>
      <c r="AM14" s="80"/>
      <c r="AN14" s="80"/>
      <c r="AO14" s="80"/>
      <c r="AP14" s="81"/>
      <c r="AQ14" s="81"/>
      <c r="AR14" s="81"/>
      <c r="AS14" s="81"/>
      <c r="AT14" s="81"/>
      <c r="AU14" s="81"/>
      <c r="AV14" s="81"/>
      <c r="AW14" s="81"/>
      <c r="AX14" s="81"/>
      <c r="AY14" s="81"/>
    </row>
    <row r="15" spans="5:51" x14ac:dyDescent="0.25">
      <c r="E15" s="6"/>
      <c r="F15" s="5"/>
      <c r="H15" s="59">
        <v>10</v>
      </c>
      <c r="I15" s="60">
        <f>100-1.48</f>
        <v>98.52</v>
      </c>
      <c r="J15" s="61"/>
      <c r="K15" s="61"/>
      <c r="L15" s="61"/>
      <c r="M15" s="62"/>
      <c r="N15" s="60">
        <f>I15-0.43</f>
        <v>98.089999999999989</v>
      </c>
      <c r="O15" s="61"/>
      <c r="P15" s="61"/>
      <c r="Q15" s="61"/>
      <c r="R15" s="62"/>
      <c r="S15" s="60">
        <f>SUM(N15+N10+S10+X10+X15)/5</f>
        <v>98.240666666666669</v>
      </c>
      <c r="T15" s="61"/>
      <c r="U15" s="61"/>
      <c r="V15" s="61"/>
      <c r="W15" s="62"/>
      <c r="X15" s="60">
        <f>AC15-0.35</f>
        <v>98.25</v>
      </c>
      <c r="Y15" s="61"/>
      <c r="Z15" s="61"/>
      <c r="AA15" s="61"/>
      <c r="AB15" s="62"/>
      <c r="AC15" s="60">
        <f>100-1.4</f>
        <v>98.6</v>
      </c>
      <c r="AD15" s="61"/>
      <c r="AE15" s="61"/>
      <c r="AF15" s="61"/>
      <c r="AG15" s="62"/>
      <c r="AK15" s="80"/>
      <c r="AL15" s="80"/>
      <c r="AM15" s="80"/>
      <c r="AN15" s="80"/>
      <c r="AO15" s="80"/>
      <c r="AP15" s="81"/>
      <c r="AQ15" s="81"/>
      <c r="AR15" s="81"/>
      <c r="AS15" s="81"/>
      <c r="AT15" s="81"/>
      <c r="AU15" s="81"/>
      <c r="AV15" s="81"/>
      <c r="AW15" s="81"/>
      <c r="AX15" s="81"/>
      <c r="AY15" s="81"/>
    </row>
    <row r="16" spans="5:51" x14ac:dyDescent="0.25">
      <c r="E16" s="6"/>
      <c r="F16" s="5"/>
      <c r="H16" s="59"/>
      <c r="I16" s="63"/>
      <c r="J16" s="49"/>
      <c r="K16" s="49"/>
      <c r="L16" s="49"/>
      <c r="M16" s="64"/>
      <c r="N16" s="63"/>
      <c r="O16" s="49"/>
      <c r="P16" s="49"/>
      <c r="Q16" s="49"/>
      <c r="R16" s="64"/>
      <c r="S16" s="63"/>
      <c r="T16" s="49"/>
      <c r="U16" s="49"/>
      <c r="V16" s="49"/>
      <c r="W16" s="64"/>
      <c r="X16" s="63"/>
      <c r="Y16" s="49"/>
      <c r="Z16" s="49"/>
      <c r="AA16" s="49"/>
      <c r="AB16" s="64"/>
      <c r="AC16" s="63"/>
      <c r="AD16" s="49"/>
      <c r="AE16" s="49"/>
      <c r="AF16" s="49"/>
      <c r="AG16" s="64"/>
      <c r="AK16" s="80"/>
      <c r="AL16" s="80"/>
      <c r="AM16" s="80"/>
      <c r="AN16" s="80"/>
      <c r="AO16" s="80"/>
      <c r="AP16" s="81"/>
      <c r="AQ16" s="81"/>
      <c r="AR16" s="81"/>
      <c r="AS16" s="81"/>
      <c r="AT16" s="81"/>
      <c r="AU16" s="81"/>
      <c r="AV16" s="81"/>
      <c r="AW16" s="81"/>
      <c r="AX16" s="81"/>
      <c r="AY16" s="81"/>
    </row>
    <row r="17" spans="4:51" x14ac:dyDescent="0.25">
      <c r="D17" s="49">
        <f>SUM(H3:H37)</f>
        <v>70</v>
      </c>
      <c r="E17" s="49"/>
      <c r="F17" s="49"/>
      <c r="G17" s="49"/>
      <c r="H17" s="59"/>
      <c r="I17" s="63"/>
      <c r="J17" s="49"/>
      <c r="K17" s="49"/>
      <c r="L17" s="49"/>
      <c r="M17" s="64"/>
      <c r="N17" s="63"/>
      <c r="O17" s="49"/>
      <c r="P17" s="49"/>
      <c r="Q17" s="49"/>
      <c r="R17" s="64"/>
      <c r="S17" s="63"/>
      <c r="T17" s="49"/>
      <c r="U17" s="49"/>
      <c r="V17" s="49"/>
      <c r="W17" s="64"/>
      <c r="X17" s="63"/>
      <c r="Y17" s="49"/>
      <c r="Z17" s="49"/>
      <c r="AA17" s="49"/>
      <c r="AB17" s="64"/>
      <c r="AC17" s="63"/>
      <c r="AD17" s="49"/>
      <c r="AE17" s="49"/>
      <c r="AF17" s="49"/>
      <c r="AG17" s="64"/>
      <c r="AK17" s="80"/>
      <c r="AL17" s="80"/>
      <c r="AM17" s="80"/>
      <c r="AN17" s="80"/>
      <c r="AO17" s="80"/>
      <c r="AP17" s="81"/>
      <c r="AQ17" s="81"/>
      <c r="AR17" s="81"/>
      <c r="AS17" s="81"/>
      <c r="AT17" s="81"/>
      <c r="AU17" s="81"/>
      <c r="AV17" s="81"/>
      <c r="AW17" s="81"/>
      <c r="AX17" s="81"/>
      <c r="AY17" s="81"/>
    </row>
    <row r="18" spans="4:51" x14ac:dyDescent="0.25">
      <c r="D18" s="49"/>
      <c r="E18" s="49"/>
      <c r="F18" s="49"/>
      <c r="G18" s="49"/>
      <c r="H18" s="59"/>
      <c r="I18" s="65">
        <v>19</v>
      </c>
      <c r="J18" s="66"/>
      <c r="K18" s="66"/>
      <c r="L18" s="66"/>
      <c r="M18" s="67"/>
      <c r="N18" s="65">
        <v>32</v>
      </c>
      <c r="O18" s="66"/>
      <c r="P18" s="66"/>
      <c r="Q18" s="66"/>
      <c r="R18" s="67"/>
      <c r="S18" s="65">
        <v>33</v>
      </c>
      <c r="T18" s="66"/>
      <c r="U18" s="66"/>
      <c r="V18" s="66"/>
      <c r="W18" s="67"/>
      <c r="X18" s="65">
        <v>24</v>
      </c>
      <c r="Y18" s="66"/>
      <c r="Z18" s="66"/>
      <c r="AA18" s="66"/>
      <c r="AB18" s="67"/>
      <c r="AC18" s="65">
        <v>7</v>
      </c>
      <c r="AD18" s="66"/>
      <c r="AE18" s="66"/>
      <c r="AF18" s="66"/>
      <c r="AG18" s="67"/>
      <c r="AK18" s="80"/>
      <c r="AL18" s="80"/>
      <c r="AM18" s="80"/>
      <c r="AN18" s="80"/>
      <c r="AO18" s="80"/>
      <c r="AP18" s="81"/>
      <c r="AQ18" s="81"/>
      <c r="AR18" s="81"/>
      <c r="AS18" s="81"/>
      <c r="AT18" s="81"/>
      <c r="AU18" s="81"/>
      <c r="AV18" s="81"/>
      <c r="AW18" s="81"/>
      <c r="AX18" s="81"/>
      <c r="AY18" s="81"/>
    </row>
    <row r="19" spans="4:51" x14ac:dyDescent="0.25">
      <c r="D19" s="10"/>
      <c r="E19" s="6"/>
      <c r="F19" s="5"/>
      <c r="G19" s="12"/>
      <c r="H19" s="59"/>
      <c r="I19" s="68"/>
      <c r="J19" s="69"/>
      <c r="K19" s="69"/>
      <c r="L19" s="69"/>
      <c r="M19" s="70"/>
      <c r="N19" s="68"/>
      <c r="O19" s="69"/>
      <c r="P19" s="69"/>
      <c r="Q19" s="69"/>
      <c r="R19" s="70"/>
      <c r="S19" s="68"/>
      <c r="T19" s="69"/>
      <c r="U19" s="69"/>
      <c r="V19" s="69"/>
      <c r="W19" s="70"/>
      <c r="X19" s="68"/>
      <c r="Y19" s="69"/>
      <c r="Z19" s="69"/>
      <c r="AA19" s="69"/>
      <c r="AB19" s="70"/>
      <c r="AC19" s="68"/>
      <c r="AD19" s="69"/>
      <c r="AE19" s="69"/>
      <c r="AF19" s="69"/>
      <c r="AG19" s="70"/>
      <c r="AK19" s="80"/>
      <c r="AL19" s="80"/>
      <c r="AM19" s="80"/>
      <c r="AN19" s="80"/>
      <c r="AO19" s="80"/>
      <c r="AP19" s="81"/>
      <c r="AQ19" s="81"/>
      <c r="AR19" s="81"/>
      <c r="AS19" s="81"/>
      <c r="AT19" s="81"/>
      <c r="AU19" s="81"/>
      <c r="AV19" s="81"/>
      <c r="AW19" s="81"/>
      <c r="AX19" s="81"/>
      <c r="AY19" s="81"/>
    </row>
    <row r="20" spans="4:51" ht="15" customHeight="1" x14ac:dyDescent="0.25">
      <c r="D20" s="10"/>
      <c r="E20" s="6"/>
      <c r="F20" s="5"/>
      <c r="G20" s="12"/>
      <c r="H20" s="59">
        <v>10</v>
      </c>
      <c r="I20" s="60">
        <f>100-1.43</f>
        <v>98.57</v>
      </c>
      <c r="J20" s="61"/>
      <c r="K20" s="61"/>
      <c r="L20" s="61"/>
      <c r="M20" s="62"/>
      <c r="N20" s="60">
        <f>I20-0.43</f>
        <v>98.139999999999986</v>
      </c>
      <c r="O20" s="61"/>
      <c r="P20" s="61"/>
      <c r="Q20" s="61"/>
      <c r="R20" s="62"/>
      <c r="S20" s="60">
        <f>SUM(N20+N15+S15+X15+X20+X25+S25+N25)/8</f>
        <v>98.179000000000002</v>
      </c>
      <c r="T20" s="61"/>
      <c r="U20" s="61"/>
      <c r="V20" s="61"/>
      <c r="W20" s="62"/>
      <c r="X20" s="60">
        <f>AC20-0.45</f>
        <v>98.11</v>
      </c>
      <c r="Y20" s="61"/>
      <c r="Z20" s="61"/>
      <c r="AA20" s="61"/>
      <c r="AB20" s="62"/>
      <c r="AC20" s="60">
        <f>100-1.44</f>
        <v>98.56</v>
      </c>
      <c r="AD20" s="61"/>
      <c r="AE20" s="61"/>
      <c r="AF20" s="61"/>
      <c r="AG20" s="62"/>
      <c r="AK20" s="80"/>
      <c r="AL20" s="80"/>
      <c r="AM20" s="80"/>
      <c r="AN20" s="80"/>
      <c r="AO20" s="80"/>
      <c r="AP20" s="81"/>
      <c r="AQ20" s="81"/>
      <c r="AR20" s="81"/>
      <c r="AS20" s="81"/>
      <c r="AT20" s="81"/>
      <c r="AU20" s="81"/>
      <c r="AV20" s="81"/>
      <c r="AW20" s="81"/>
      <c r="AX20" s="81"/>
      <c r="AY20" s="81"/>
    </row>
    <row r="21" spans="4:51" x14ac:dyDescent="0.25">
      <c r="D21" s="10"/>
      <c r="E21" s="6"/>
      <c r="F21" s="5"/>
      <c r="G21" s="12"/>
      <c r="H21" s="59"/>
      <c r="I21" s="63"/>
      <c r="J21" s="49"/>
      <c r="K21" s="49"/>
      <c r="L21" s="49"/>
      <c r="M21" s="64"/>
      <c r="N21" s="63"/>
      <c r="O21" s="49"/>
      <c r="P21" s="49"/>
      <c r="Q21" s="49"/>
      <c r="R21" s="64"/>
      <c r="S21" s="63"/>
      <c r="T21" s="49"/>
      <c r="U21" s="49"/>
      <c r="V21" s="49"/>
      <c r="W21" s="64"/>
      <c r="X21" s="63"/>
      <c r="Y21" s="49"/>
      <c r="Z21" s="49"/>
      <c r="AA21" s="49"/>
      <c r="AB21" s="64"/>
      <c r="AC21" s="63"/>
      <c r="AD21" s="49"/>
      <c r="AE21" s="49"/>
      <c r="AF21" s="49"/>
      <c r="AG21" s="64"/>
      <c r="AK21" s="80"/>
      <c r="AL21" s="80"/>
      <c r="AM21" s="80"/>
      <c r="AN21" s="80"/>
      <c r="AO21" s="80"/>
      <c r="AP21" s="81"/>
      <c r="AQ21" s="81"/>
      <c r="AR21" s="81"/>
      <c r="AS21" s="81"/>
      <c r="AT21" s="81"/>
      <c r="AU21" s="81"/>
      <c r="AV21" s="81"/>
      <c r="AW21" s="81"/>
      <c r="AX21" s="81"/>
      <c r="AY21" s="81"/>
    </row>
    <row r="22" spans="4:51" x14ac:dyDescent="0.25">
      <c r="D22" s="10"/>
      <c r="E22" s="6"/>
      <c r="F22" s="5"/>
      <c r="G22" s="12"/>
      <c r="H22" s="59"/>
      <c r="I22" s="63"/>
      <c r="J22" s="49"/>
      <c r="K22" s="49"/>
      <c r="L22" s="49"/>
      <c r="M22" s="64"/>
      <c r="N22" s="63"/>
      <c r="O22" s="49"/>
      <c r="P22" s="49"/>
      <c r="Q22" s="49"/>
      <c r="R22" s="64"/>
      <c r="S22" s="63"/>
      <c r="T22" s="49"/>
      <c r="U22" s="49"/>
      <c r="V22" s="49"/>
      <c r="W22" s="64"/>
      <c r="X22" s="63"/>
      <c r="Y22" s="49"/>
      <c r="Z22" s="49"/>
      <c r="AA22" s="49"/>
      <c r="AB22" s="64"/>
      <c r="AC22" s="63"/>
      <c r="AD22" s="49"/>
      <c r="AE22" s="49"/>
      <c r="AF22" s="49"/>
      <c r="AG22" s="64"/>
      <c r="AK22" s="80"/>
      <c r="AL22" s="80"/>
      <c r="AM22" s="80"/>
      <c r="AN22" s="80"/>
      <c r="AO22" s="80"/>
      <c r="AP22" s="81"/>
      <c r="AQ22" s="81"/>
      <c r="AR22" s="81"/>
      <c r="AS22" s="81"/>
      <c r="AT22" s="81"/>
      <c r="AU22" s="81"/>
      <c r="AV22" s="81"/>
      <c r="AW22" s="81"/>
      <c r="AX22" s="81"/>
      <c r="AY22" s="81"/>
    </row>
    <row r="23" spans="4:51" x14ac:dyDescent="0.25">
      <c r="D23" s="10"/>
      <c r="E23" s="6"/>
      <c r="F23" s="5"/>
      <c r="G23" s="12"/>
      <c r="H23" s="59"/>
      <c r="I23" s="65">
        <v>18</v>
      </c>
      <c r="J23" s="66"/>
      <c r="K23" s="66"/>
      <c r="L23" s="66"/>
      <c r="M23" s="67"/>
      <c r="N23" s="65">
        <v>31</v>
      </c>
      <c r="O23" s="66"/>
      <c r="P23" s="66"/>
      <c r="Q23" s="66"/>
      <c r="R23" s="67"/>
      <c r="S23" s="65">
        <v>34</v>
      </c>
      <c r="T23" s="66"/>
      <c r="U23" s="66"/>
      <c r="V23" s="66"/>
      <c r="W23" s="67"/>
      <c r="X23" s="65">
        <v>25</v>
      </c>
      <c r="Y23" s="66"/>
      <c r="Z23" s="66"/>
      <c r="AA23" s="66"/>
      <c r="AB23" s="67"/>
      <c r="AC23" s="65">
        <v>8</v>
      </c>
      <c r="AD23" s="66"/>
      <c r="AE23" s="66"/>
      <c r="AF23" s="66"/>
      <c r="AG23" s="67"/>
      <c r="AK23" s="80"/>
      <c r="AL23" s="80"/>
      <c r="AM23" s="80"/>
      <c r="AN23" s="80"/>
      <c r="AO23" s="80"/>
      <c r="AP23" s="81"/>
      <c r="AQ23" s="81"/>
      <c r="AR23" s="81"/>
      <c r="AS23" s="81"/>
      <c r="AT23" s="81"/>
      <c r="AU23" s="81"/>
      <c r="AV23" s="81"/>
      <c r="AW23" s="81"/>
      <c r="AX23" s="81"/>
      <c r="AY23" s="81"/>
    </row>
    <row r="24" spans="4:51" x14ac:dyDescent="0.25">
      <c r="D24" s="10"/>
      <c r="E24" s="6"/>
      <c r="F24" s="5"/>
      <c r="G24" s="12"/>
      <c r="H24" s="59"/>
      <c r="I24" s="68"/>
      <c r="J24" s="69"/>
      <c r="K24" s="69"/>
      <c r="L24" s="69"/>
      <c r="M24" s="70"/>
      <c r="N24" s="68"/>
      <c r="O24" s="69"/>
      <c r="P24" s="69"/>
      <c r="Q24" s="69"/>
      <c r="R24" s="70"/>
      <c r="S24" s="68"/>
      <c r="T24" s="69"/>
      <c r="U24" s="69"/>
      <c r="V24" s="69"/>
      <c r="W24" s="70"/>
      <c r="X24" s="68"/>
      <c r="Y24" s="69"/>
      <c r="Z24" s="69"/>
      <c r="AA24" s="69"/>
      <c r="AB24" s="70"/>
      <c r="AC24" s="68"/>
      <c r="AD24" s="69"/>
      <c r="AE24" s="69"/>
      <c r="AF24" s="69"/>
      <c r="AG24" s="70"/>
      <c r="AK24" s="116"/>
      <c r="AL24" s="117"/>
      <c r="AM24" s="117"/>
      <c r="AN24" s="117"/>
      <c r="AO24" s="117"/>
      <c r="AP24" s="117"/>
      <c r="AQ24" s="117"/>
      <c r="AR24" s="117"/>
      <c r="AS24" s="117"/>
      <c r="AT24" s="117"/>
      <c r="AU24" s="117"/>
      <c r="AV24" s="117"/>
      <c r="AW24" s="117"/>
      <c r="AX24" s="117"/>
      <c r="AY24" s="118"/>
    </row>
    <row r="25" spans="4:51" x14ac:dyDescent="0.25">
      <c r="D25" s="10"/>
      <c r="E25" s="6"/>
      <c r="F25" s="5"/>
      <c r="G25" s="12"/>
      <c r="H25" s="59">
        <v>10</v>
      </c>
      <c r="I25" s="60">
        <f>100-1.36</f>
        <v>98.64</v>
      </c>
      <c r="J25" s="61"/>
      <c r="K25" s="61"/>
      <c r="L25" s="61"/>
      <c r="M25" s="62"/>
      <c r="N25" s="60">
        <f>I25-0.33</f>
        <v>98.31</v>
      </c>
      <c r="O25" s="61"/>
      <c r="P25" s="61"/>
      <c r="Q25" s="61"/>
      <c r="R25" s="62"/>
      <c r="S25" s="60">
        <f>SUM(N25+N30+S30+X30+X25)/5</f>
        <v>98.181333333333342</v>
      </c>
      <c r="T25" s="61"/>
      <c r="U25" s="61"/>
      <c r="V25" s="61"/>
      <c r="W25" s="62"/>
      <c r="X25" s="60">
        <f>AC25-0.45</f>
        <v>98.11</v>
      </c>
      <c r="Y25" s="61"/>
      <c r="Z25" s="61"/>
      <c r="AA25" s="61"/>
      <c r="AB25" s="62"/>
      <c r="AC25" s="60">
        <f>100-1.44</f>
        <v>98.56</v>
      </c>
      <c r="AD25" s="61"/>
      <c r="AE25" s="61"/>
      <c r="AF25" s="61"/>
      <c r="AG25" s="62"/>
      <c r="AK25" s="115" t="s">
        <v>25</v>
      </c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3"/>
    </row>
    <row r="26" spans="4:51" x14ac:dyDescent="0.25">
      <c r="D26" s="10"/>
      <c r="E26" s="6"/>
      <c r="F26" s="5"/>
      <c r="G26" s="12"/>
      <c r="H26" s="59"/>
      <c r="I26" s="63"/>
      <c r="J26" s="49"/>
      <c r="K26" s="49"/>
      <c r="L26" s="49"/>
      <c r="M26" s="64"/>
      <c r="N26" s="63"/>
      <c r="O26" s="49"/>
      <c r="P26" s="49"/>
      <c r="Q26" s="49"/>
      <c r="R26" s="64"/>
      <c r="S26" s="63"/>
      <c r="T26" s="49"/>
      <c r="U26" s="49"/>
      <c r="V26" s="49"/>
      <c r="W26" s="64"/>
      <c r="X26" s="63"/>
      <c r="Y26" s="49"/>
      <c r="Z26" s="49"/>
      <c r="AA26" s="49"/>
      <c r="AB26" s="64"/>
      <c r="AC26" s="63"/>
      <c r="AD26" s="49"/>
      <c r="AE26" s="49"/>
      <c r="AF26" s="49"/>
      <c r="AG26" s="64"/>
      <c r="AK26" s="74"/>
      <c r="AL26" s="75"/>
      <c r="AM26" s="75"/>
      <c r="AN26" s="75"/>
      <c r="AO26" s="75"/>
      <c r="AP26" s="75"/>
      <c r="AQ26" s="75"/>
      <c r="AR26" s="75"/>
      <c r="AS26" s="75"/>
      <c r="AT26" s="75"/>
      <c r="AU26" s="75"/>
      <c r="AV26" s="75"/>
      <c r="AW26" s="75"/>
      <c r="AX26" s="75"/>
      <c r="AY26" s="76"/>
    </row>
    <row r="27" spans="4:51" x14ac:dyDescent="0.25">
      <c r="D27" s="10"/>
      <c r="E27" s="6"/>
      <c r="F27" s="5"/>
      <c r="G27" s="12"/>
      <c r="H27" s="59"/>
      <c r="I27" s="63"/>
      <c r="J27" s="49"/>
      <c r="K27" s="49"/>
      <c r="L27" s="49"/>
      <c r="M27" s="64"/>
      <c r="N27" s="63"/>
      <c r="O27" s="49"/>
      <c r="P27" s="49"/>
      <c r="Q27" s="49"/>
      <c r="R27" s="64"/>
      <c r="S27" s="63"/>
      <c r="T27" s="49"/>
      <c r="U27" s="49"/>
      <c r="V27" s="49"/>
      <c r="W27" s="64"/>
      <c r="X27" s="63"/>
      <c r="Y27" s="49"/>
      <c r="Z27" s="49"/>
      <c r="AA27" s="49"/>
      <c r="AB27" s="64"/>
      <c r="AC27" s="63"/>
      <c r="AD27" s="49"/>
      <c r="AE27" s="49"/>
      <c r="AF27" s="49"/>
      <c r="AG27" s="64"/>
      <c r="AK27" s="74"/>
      <c r="AL27" s="75"/>
      <c r="AM27" s="75"/>
      <c r="AN27" s="75"/>
      <c r="AO27" s="75"/>
      <c r="AP27" s="75"/>
      <c r="AQ27" s="75"/>
      <c r="AR27" s="75"/>
      <c r="AS27" s="75"/>
      <c r="AT27" s="75"/>
      <c r="AU27" s="75"/>
      <c r="AV27" s="75"/>
      <c r="AW27" s="75"/>
      <c r="AX27" s="75"/>
      <c r="AY27" s="76"/>
    </row>
    <row r="28" spans="4:51" x14ac:dyDescent="0.25">
      <c r="D28" s="10"/>
      <c r="E28" s="6"/>
      <c r="F28" s="5"/>
      <c r="G28" s="12"/>
      <c r="H28" s="59"/>
      <c r="I28" s="65">
        <v>17</v>
      </c>
      <c r="J28" s="66"/>
      <c r="K28" s="66"/>
      <c r="L28" s="66"/>
      <c r="M28" s="67"/>
      <c r="N28" s="65">
        <v>30</v>
      </c>
      <c r="O28" s="66"/>
      <c r="P28" s="66"/>
      <c r="Q28" s="66"/>
      <c r="R28" s="67"/>
      <c r="S28" s="65">
        <v>35</v>
      </c>
      <c r="T28" s="66"/>
      <c r="U28" s="66"/>
      <c r="V28" s="66"/>
      <c r="W28" s="67"/>
      <c r="X28" s="65">
        <v>26</v>
      </c>
      <c r="Y28" s="66"/>
      <c r="Z28" s="66"/>
      <c r="AA28" s="66"/>
      <c r="AB28" s="67"/>
      <c r="AC28" s="65">
        <v>9</v>
      </c>
      <c r="AD28" s="66"/>
      <c r="AE28" s="66"/>
      <c r="AF28" s="66"/>
      <c r="AG28" s="67"/>
      <c r="AK28" s="74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5"/>
      <c r="AW28" s="75"/>
      <c r="AX28" s="75"/>
      <c r="AY28" s="76"/>
    </row>
    <row r="29" spans="4:51" x14ac:dyDescent="0.25">
      <c r="D29" s="10"/>
      <c r="E29" s="6"/>
      <c r="F29" s="5"/>
      <c r="G29" s="12"/>
      <c r="H29" s="59"/>
      <c r="I29" s="68"/>
      <c r="J29" s="69"/>
      <c r="K29" s="69"/>
      <c r="L29" s="69"/>
      <c r="M29" s="70"/>
      <c r="N29" s="68"/>
      <c r="O29" s="69"/>
      <c r="P29" s="69"/>
      <c r="Q29" s="69"/>
      <c r="R29" s="70"/>
      <c r="S29" s="68"/>
      <c r="T29" s="69"/>
      <c r="U29" s="69"/>
      <c r="V29" s="69"/>
      <c r="W29" s="70"/>
      <c r="X29" s="68"/>
      <c r="Y29" s="69"/>
      <c r="Z29" s="69"/>
      <c r="AA29" s="69"/>
      <c r="AB29" s="70"/>
      <c r="AC29" s="68"/>
      <c r="AD29" s="69"/>
      <c r="AE29" s="69"/>
      <c r="AF29" s="69"/>
      <c r="AG29" s="70"/>
      <c r="AK29" s="77"/>
      <c r="AL29" s="78"/>
      <c r="AM29" s="78"/>
      <c r="AN29" s="78"/>
      <c r="AO29" s="78"/>
      <c r="AP29" s="78"/>
      <c r="AQ29" s="78"/>
      <c r="AR29" s="78"/>
      <c r="AS29" s="78"/>
      <c r="AT29" s="78"/>
      <c r="AU29" s="78"/>
      <c r="AV29" s="78"/>
      <c r="AW29" s="78"/>
      <c r="AX29" s="78"/>
      <c r="AY29" s="79"/>
    </row>
    <row r="30" spans="4:51" x14ac:dyDescent="0.25">
      <c r="E30" s="6"/>
      <c r="F30" s="5"/>
      <c r="H30" s="59">
        <v>10</v>
      </c>
      <c r="I30" s="60">
        <f>100-1.43</f>
        <v>98.57</v>
      </c>
      <c r="J30" s="61"/>
      <c r="K30" s="61"/>
      <c r="L30" s="61"/>
      <c r="M30" s="62"/>
      <c r="N30" s="60">
        <f>SUM(I30+I35+N35)/3-0.37</f>
        <v>98.183333333333323</v>
      </c>
      <c r="O30" s="61"/>
      <c r="P30" s="61"/>
      <c r="Q30" s="61"/>
      <c r="R30" s="62"/>
      <c r="S30" s="60">
        <f>S35-0.35</f>
        <v>98.190000000000012</v>
      </c>
      <c r="T30" s="61"/>
      <c r="U30" s="61"/>
      <c r="V30" s="61"/>
      <c r="W30" s="62"/>
      <c r="X30" s="60">
        <f>SUM(X35+AC35+AC30)/3-0.47</f>
        <v>98.11333333333333</v>
      </c>
      <c r="Y30" s="61"/>
      <c r="Z30" s="61"/>
      <c r="AA30" s="61"/>
      <c r="AB30" s="62"/>
      <c r="AC30" s="60">
        <f>100-1.38</f>
        <v>98.62</v>
      </c>
      <c r="AD30" s="61"/>
      <c r="AE30" s="61"/>
      <c r="AF30" s="61"/>
      <c r="AG30" s="62"/>
      <c r="AK30" s="53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5"/>
    </row>
    <row r="31" spans="4:51" x14ac:dyDescent="0.25">
      <c r="E31" s="6"/>
      <c r="F31" s="5"/>
      <c r="H31" s="59"/>
      <c r="I31" s="63"/>
      <c r="J31" s="49"/>
      <c r="K31" s="49"/>
      <c r="L31" s="49"/>
      <c r="M31" s="64"/>
      <c r="N31" s="63"/>
      <c r="O31" s="49"/>
      <c r="P31" s="49"/>
      <c r="Q31" s="49"/>
      <c r="R31" s="64"/>
      <c r="S31" s="63"/>
      <c r="T31" s="49"/>
      <c r="U31" s="49"/>
      <c r="V31" s="49"/>
      <c r="W31" s="64"/>
      <c r="X31" s="63"/>
      <c r="Y31" s="49"/>
      <c r="Z31" s="49"/>
      <c r="AA31" s="49"/>
      <c r="AB31" s="64"/>
      <c r="AC31" s="63"/>
      <c r="AD31" s="49"/>
      <c r="AE31" s="49"/>
      <c r="AF31" s="49"/>
      <c r="AG31" s="64"/>
      <c r="AK31" s="50" t="s">
        <v>26</v>
      </c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2"/>
    </row>
    <row r="32" spans="4:51" x14ac:dyDescent="0.25">
      <c r="E32" s="6"/>
      <c r="F32" s="5"/>
      <c r="H32" s="59"/>
      <c r="I32" s="63"/>
      <c r="J32" s="49"/>
      <c r="K32" s="49"/>
      <c r="L32" s="49"/>
      <c r="M32" s="64"/>
      <c r="N32" s="63"/>
      <c r="O32" s="49"/>
      <c r="P32" s="49"/>
      <c r="Q32" s="49"/>
      <c r="R32" s="64"/>
      <c r="S32" s="63"/>
      <c r="T32" s="49"/>
      <c r="U32" s="49"/>
      <c r="V32" s="49"/>
      <c r="W32" s="64"/>
      <c r="X32" s="63"/>
      <c r="Y32" s="49"/>
      <c r="Z32" s="49"/>
      <c r="AA32" s="49"/>
      <c r="AB32" s="64"/>
      <c r="AC32" s="63"/>
      <c r="AD32" s="49"/>
      <c r="AE32" s="49"/>
      <c r="AF32" s="49"/>
      <c r="AG32" s="64"/>
      <c r="AK32" s="53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5"/>
    </row>
    <row r="33" spans="1:52" x14ac:dyDescent="0.25">
      <c r="E33" s="6"/>
      <c r="F33" s="5"/>
      <c r="H33" s="59"/>
      <c r="I33" s="65">
        <v>16</v>
      </c>
      <c r="J33" s="66"/>
      <c r="K33" s="66"/>
      <c r="L33" s="66"/>
      <c r="M33" s="67"/>
      <c r="N33" s="65">
        <v>29</v>
      </c>
      <c r="O33" s="66"/>
      <c r="P33" s="66"/>
      <c r="Q33" s="66"/>
      <c r="R33" s="67"/>
      <c r="S33" s="65">
        <v>28</v>
      </c>
      <c r="T33" s="66"/>
      <c r="U33" s="66"/>
      <c r="V33" s="66"/>
      <c r="W33" s="67"/>
      <c r="X33" s="65">
        <v>27</v>
      </c>
      <c r="Y33" s="66"/>
      <c r="Z33" s="66"/>
      <c r="AA33" s="66"/>
      <c r="AB33" s="67"/>
      <c r="AC33" s="65">
        <v>10</v>
      </c>
      <c r="AD33" s="66"/>
      <c r="AE33" s="66"/>
      <c r="AF33" s="66"/>
      <c r="AG33" s="67"/>
      <c r="AK33" s="50" t="s">
        <v>6</v>
      </c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2"/>
    </row>
    <row r="34" spans="1:52" x14ac:dyDescent="0.25">
      <c r="E34" s="6"/>
      <c r="F34" s="5"/>
      <c r="H34" s="59"/>
      <c r="I34" s="68"/>
      <c r="J34" s="69"/>
      <c r="K34" s="69"/>
      <c r="L34" s="69"/>
      <c r="M34" s="70"/>
      <c r="N34" s="68"/>
      <c r="O34" s="69"/>
      <c r="P34" s="69"/>
      <c r="Q34" s="69"/>
      <c r="R34" s="70"/>
      <c r="S34" s="68"/>
      <c r="T34" s="69"/>
      <c r="U34" s="69"/>
      <c r="V34" s="69"/>
      <c r="W34" s="70"/>
      <c r="X34" s="68"/>
      <c r="Y34" s="69"/>
      <c r="Z34" s="69"/>
      <c r="AA34" s="69"/>
      <c r="AB34" s="70"/>
      <c r="AC34" s="68"/>
      <c r="AD34" s="69"/>
      <c r="AE34" s="69"/>
      <c r="AF34" s="69"/>
      <c r="AG34" s="70"/>
      <c r="AK34" s="53"/>
      <c r="AL34" s="54"/>
      <c r="AM34" s="54"/>
      <c r="AN34" s="54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5"/>
    </row>
    <row r="35" spans="1:52" x14ac:dyDescent="0.25">
      <c r="E35" s="6"/>
      <c r="F35" s="5"/>
      <c r="H35" s="59">
        <v>10</v>
      </c>
      <c r="I35" s="60">
        <f>100-1.43</f>
        <v>98.57</v>
      </c>
      <c r="J35" s="61"/>
      <c r="K35" s="61"/>
      <c r="L35" s="61"/>
      <c r="M35" s="62"/>
      <c r="N35" s="60">
        <f>100-1.48</f>
        <v>98.52</v>
      </c>
      <c r="O35" s="61"/>
      <c r="P35" s="61"/>
      <c r="Q35" s="61"/>
      <c r="R35" s="62"/>
      <c r="S35" s="60">
        <f>100-1.46</f>
        <v>98.54</v>
      </c>
      <c r="T35" s="61"/>
      <c r="U35" s="61"/>
      <c r="V35" s="61"/>
      <c r="W35" s="62"/>
      <c r="X35" s="60">
        <f>100-1.45</f>
        <v>98.55</v>
      </c>
      <c r="Y35" s="61"/>
      <c r="Z35" s="61"/>
      <c r="AA35" s="61"/>
      <c r="AB35" s="62"/>
      <c r="AC35" s="60">
        <f>100-1.42</f>
        <v>98.58</v>
      </c>
      <c r="AD35" s="61"/>
      <c r="AE35" s="61"/>
      <c r="AF35" s="61"/>
      <c r="AG35" s="62"/>
      <c r="AK35" s="50" t="s">
        <v>7</v>
      </c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2"/>
    </row>
    <row r="36" spans="1:52" x14ac:dyDescent="0.25">
      <c r="E36" s="6"/>
      <c r="F36" s="5"/>
      <c r="H36" s="59"/>
      <c r="I36" s="63"/>
      <c r="J36" s="49"/>
      <c r="K36" s="49"/>
      <c r="L36" s="49"/>
      <c r="M36" s="64"/>
      <c r="N36" s="63"/>
      <c r="O36" s="49"/>
      <c r="P36" s="49"/>
      <c r="Q36" s="49"/>
      <c r="R36" s="64"/>
      <c r="S36" s="63"/>
      <c r="T36" s="49"/>
      <c r="U36" s="49"/>
      <c r="V36" s="49"/>
      <c r="W36" s="64"/>
      <c r="X36" s="63"/>
      <c r="Y36" s="49"/>
      <c r="Z36" s="49"/>
      <c r="AA36" s="49"/>
      <c r="AB36" s="64"/>
      <c r="AC36" s="63"/>
      <c r="AD36" s="49"/>
      <c r="AE36" s="49"/>
      <c r="AF36" s="49"/>
      <c r="AG36" s="64"/>
      <c r="AK36" s="53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5"/>
    </row>
    <row r="37" spans="1:52" x14ac:dyDescent="0.25">
      <c r="E37" s="6"/>
      <c r="F37" s="5"/>
      <c r="H37" s="59"/>
      <c r="I37" s="63"/>
      <c r="J37" s="49"/>
      <c r="K37" s="49"/>
      <c r="L37" s="49"/>
      <c r="M37" s="64"/>
      <c r="N37" s="63"/>
      <c r="O37" s="49"/>
      <c r="P37" s="49"/>
      <c r="Q37" s="49"/>
      <c r="R37" s="64"/>
      <c r="S37" s="63"/>
      <c r="T37" s="49"/>
      <c r="U37" s="49"/>
      <c r="V37" s="49"/>
      <c r="W37" s="64"/>
      <c r="X37" s="63"/>
      <c r="Y37" s="49"/>
      <c r="Z37" s="49"/>
      <c r="AA37" s="49"/>
      <c r="AB37" s="64"/>
      <c r="AC37" s="63"/>
      <c r="AD37" s="49"/>
      <c r="AE37" s="49"/>
      <c r="AF37" s="49"/>
      <c r="AG37" s="64"/>
      <c r="AK37" s="50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2"/>
    </row>
    <row r="38" spans="1:52" x14ac:dyDescent="0.25">
      <c r="E38" s="6"/>
      <c r="F38" s="5"/>
      <c r="H38" s="59"/>
      <c r="I38" s="65">
        <v>15</v>
      </c>
      <c r="J38" s="66"/>
      <c r="K38" s="66"/>
      <c r="L38" s="66"/>
      <c r="M38" s="67"/>
      <c r="N38" s="65">
        <v>14</v>
      </c>
      <c r="O38" s="66"/>
      <c r="P38" s="66"/>
      <c r="Q38" s="66"/>
      <c r="R38" s="67"/>
      <c r="S38" s="65">
        <v>13</v>
      </c>
      <c r="T38" s="66"/>
      <c r="U38" s="66"/>
      <c r="V38" s="66"/>
      <c r="W38" s="67"/>
      <c r="X38" s="65">
        <v>12</v>
      </c>
      <c r="Y38" s="66"/>
      <c r="Z38" s="66"/>
      <c r="AA38" s="66"/>
      <c r="AB38" s="67"/>
      <c r="AC38" s="65">
        <v>11</v>
      </c>
      <c r="AD38" s="66"/>
      <c r="AE38" s="66"/>
      <c r="AF38" s="66"/>
      <c r="AG38" s="67"/>
      <c r="AK38" s="53"/>
      <c r="AL38" s="54"/>
      <c r="AM38" s="54"/>
      <c r="AN38" s="54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5"/>
    </row>
    <row r="39" spans="1:52" x14ac:dyDescent="0.25">
      <c r="E39" s="9"/>
      <c r="F39" s="7"/>
      <c r="H39" s="59"/>
      <c r="I39" s="68"/>
      <c r="J39" s="69"/>
      <c r="K39" s="69"/>
      <c r="L39" s="69"/>
      <c r="M39" s="70"/>
      <c r="N39" s="68"/>
      <c r="O39" s="69"/>
      <c r="P39" s="69"/>
      <c r="Q39" s="69"/>
      <c r="R39" s="70"/>
      <c r="S39" s="68"/>
      <c r="T39" s="69"/>
      <c r="U39" s="69"/>
      <c r="V39" s="69"/>
      <c r="W39" s="70"/>
      <c r="X39" s="68"/>
      <c r="Y39" s="69"/>
      <c r="Z39" s="69"/>
      <c r="AA39" s="69"/>
      <c r="AB39" s="70"/>
      <c r="AC39" s="68"/>
      <c r="AD39" s="69"/>
      <c r="AE39" s="69"/>
      <c r="AF39" s="69"/>
      <c r="AG39" s="70"/>
    </row>
    <row r="42" spans="1:52" x14ac:dyDescent="0.25">
      <c r="G42" s="7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49">
        <f>T1</f>
        <v>50</v>
      </c>
      <c r="Y42" s="49"/>
      <c r="Z42" s="49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9"/>
    </row>
    <row r="43" spans="1:52" x14ac:dyDescent="0.25">
      <c r="A43" s="12"/>
      <c r="B43" s="12"/>
      <c r="C43" s="12"/>
      <c r="D43" s="12"/>
      <c r="E43" s="12"/>
      <c r="F43" s="12"/>
      <c r="G43" s="18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49"/>
      <c r="Y43" s="49"/>
      <c r="Z43" s="4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31"/>
      <c r="AR43" s="12"/>
      <c r="AS43" s="12"/>
      <c r="AT43" s="12"/>
      <c r="AU43" s="12"/>
      <c r="AV43" s="12"/>
      <c r="AW43" s="12"/>
      <c r="AX43" s="12"/>
      <c r="AY43" s="12"/>
      <c r="AZ43" s="12"/>
    </row>
    <row r="44" spans="1:52" x14ac:dyDescent="0.25">
      <c r="A44" s="112" t="s">
        <v>9</v>
      </c>
      <c r="B44" s="112"/>
      <c r="C44" s="112"/>
      <c r="D44" s="24"/>
      <c r="E44" s="28"/>
      <c r="F44" s="25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4"/>
      <c r="AS44" s="28"/>
      <c r="AT44" s="25"/>
      <c r="AU44" s="12"/>
      <c r="AV44" s="12"/>
      <c r="AW44" s="26"/>
      <c r="AX44" s="26"/>
      <c r="AY44" s="26"/>
      <c r="AZ44" s="12"/>
    </row>
    <row r="45" spans="1:52" x14ac:dyDescent="0.25">
      <c r="A45" s="113" t="s">
        <v>10</v>
      </c>
      <c r="B45" s="113"/>
      <c r="C45" s="113"/>
      <c r="D45" s="27"/>
      <c r="E45" s="27"/>
      <c r="F45" s="29"/>
      <c r="G45" s="11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3"/>
      <c r="AR45" s="12"/>
      <c r="AS45" s="12"/>
      <c r="AT45" s="12"/>
      <c r="AU45" s="31"/>
      <c r="AV45" s="18"/>
      <c r="AW45" s="12"/>
      <c r="AX45" s="12"/>
      <c r="AY45" s="12"/>
      <c r="AZ45" s="12"/>
    </row>
    <row r="46" spans="1:52" x14ac:dyDescent="0.25">
      <c r="A46" s="114"/>
      <c r="B46" s="114"/>
      <c r="C46" s="114"/>
      <c r="D46" s="23"/>
      <c r="E46" s="23"/>
      <c r="F46" s="30"/>
      <c r="G46" s="14"/>
      <c r="H46" s="15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5"/>
      <c r="AQ46" s="16"/>
      <c r="AR46" s="12"/>
      <c r="AS46" s="12"/>
      <c r="AT46" s="12"/>
      <c r="AU46" s="13"/>
      <c r="AV46" s="11"/>
      <c r="AW46" s="12"/>
      <c r="AX46" s="12"/>
      <c r="AY46" s="12"/>
      <c r="AZ46" s="12"/>
    </row>
    <row r="47" spans="1:52" x14ac:dyDescent="0.25">
      <c r="A47" s="66" t="s">
        <v>11</v>
      </c>
      <c r="B47" s="66"/>
      <c r="C47" s="66"/>
      <c r="D47" s="12"/>
      <c r="E47" s="12"/>
      <c r="F47" s="12"/>
      <c r="G47" s="12"/>
      <c r="H47" s="13"/>
      <c r="I47" s="11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3"/>
      <c r="AP47" s="12"/>
      <c r="AQ47" s="12"/>
      <c r="AR47" s="12"/>
      <c r="AS47" s="12"/>
      <c r="AT47" s="49">
        <v>2.2999999999999998</v>
      </c>
      <c r="AU47" s="49"/>
      <c r="AV47" s="49"/>
      <c r="AW47" s="49"/>
      <c r="AX47" s="12"/>
      <c r="AY47" s="12"/>
      <c r="AZ47" s="12"/>
    </row>
    <row r="48" spans="1:52" x14ac:dyDescent="0.25">
      <c r="A48" s="114"/>
      <c r="B48" s="114"/>
      <c r="C48" s="114"/>
      <c r="D48" s="23"/>
      <c r="E48" s="23"/>
      <c r="F48" s="23"/>
      <c r="G48" s="23"/>
      <c r="H48" s="30"/>
      <c r="I48" s="14"/>
      <c r="J48" s="15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5"/>
      <c r="AO48" s="16"/>
      <c r="AP48" s="12"/>
      <c r="AQ48" s="12"/>
      <c r="AR48" s="12"/>
      <c r="AS48" s="12"/>
      <c r="AT48" s="49"/>
      <c r="AU48" s="49"/>
      <c r="AV48" s="49"/>
      <c r="AW48" s="49"/>
      <c r="AX48" s="12"/>
      <c r="AY48" s="12"/>
      <c r="AZ48" s="12"/>
    </row>
    <row r="49" spans="1:52" ht="12" customHeight="1" x14ac:dyDescent="0.25">
      <c r="A49" s="114" t="s">
        <v>27</v>
      </c>
      <c r="B49" s="114"/>
      <c r="C49" s="114"/>
      <c r="D49" s="23"/>
      <c r="E49" s="23"/>
      <c r="F49" s="23"/>
      <c r="G49" s="23"/>
      <c r="H49" s="23"/>
      <c r="I49" s="23"/>
      <c r="J49" s="30"/>
      <c r="K49" s="14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6"/>
      <c r="AN49" s="12"/>
      <c r="AO49" s="12"/>
      <c r="AP49" s="12"/>
      <c r="AQ49" s="12"/>
      <c r="AR49" s="12"/>
      <c r="AS49" s="12"/>
      <c r="AT49" s="12"/>
      <c r="AU49" s="16"/>
      <c r="AV49" s="14"/>
      <c r="AW49" s="12"/>
      <c r="AX49" s="12"/>
      <c r="AY49" s="12"/>
      <c r="AZ49" s="12"/>
    </row>
    <row r="50" spans="1:52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</row>
    <row r="51" spans="1:52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4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49">
        <f>X42-4</f>
        <v>46</v>
      </c>
      <c r="Y51" s="49"/>
      <c r="Z51" s="49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6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</row>
    <row r="52" spans="1:52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8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49"/>
      <c r="Y52" s="49"/>
      <c r="Z52" s="4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31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</row>
    <row r="53" spans="1:52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</row>
    <row r="54" spans="1:52" x14ac:dyDescent="0.25">
      <c r="A54" s="48" t="s">
        <v>13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</row>
    <row r="55" spans="1:52" x14ac:dyDescent="0.25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</row>
    <row r="56" spans="1:52" x14ac:dyDescent="0.25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</row>
    <row r="57" spans="1:52" x14ac:dyDescent="0.25"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</row>
    <row r="58" spans="1:52" x14ac:dyDescent="0.25"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</row>
  </sheetData>
  <mergeCells count="129">
    <mergeCell ref="X51:Z52"/>
    <mergeCell ref="A54:AY56"/>
    <mergeCell ref="X42:Z43"/>
    <mergeCell ref="A44:C44"/>
    <mergeCell ref="A45:C46"/>
    <mergeCell ref="A47:C48"/>
    <mergeCell ref="AT47:AW48"/>
    <mergeCell ref="A49:C49"/>
    <mergeCell ref="AK35:AY36"/>
    <mergeCell ref="AK37:AY38"/>
    <mergeCell ref="I38:M39"/>
    <mergeCell ref="N38:R39"/>
    <mergeCell ref="S38:W39"/>
    <mergeCell ref="X38:AB39"/>
    <mergeCell ref="AC38:AG39"/>
    <mergeCell ref="H35:H39"/>
    <mergeCell ref="I35:M37"/>
    <mergeCell ref="N35:R37"/>
    <mergeCell ref="S35:W37"/>
    <mergeCell ref="X35:AB37"/>
    <mergeCell ref="AC35:AG37"/>
    <mergeCell ref="AK30:AY30"/>
    <mergeCell ref="AK31:AY32"/>
    <mergeCell ref="I33:M34"/>
    <mergeCell ref="N33:R34"/>
    <mergeCell ref="S33:W34"/>
    <mergeCell ref="X33:AB34"/>
    <mergeCell ref="AC33:AG34"/>
    <mergeCell ref="AK33:AY34"/>
    <mergeCell ref="H30:H34"/>
    <mergeCell ref="I30:M32"/>
    <mergeCell ref="N30:R32"/>
    <mergeCell ref="S30:W32"/>
    <mergeCell ref="X30:AB32"/>
    <mergeCell ref="AC30:AG32"/>
    <mergeCell ref="AK25:AY29"/>
    <mergeCell ref="I28:M29"/>
    <mergeCell ref="N28:R29"/>
    <mergeCell ref="S28:W29"/>
    <mergeCell ref="X28:AB29"/>
    <mergeCell ref="AC28:AG29"/>
    <mergeCell ref="H25:H29"/>
    <mergeCell ref="I25:M27"/>
    <mergeCell ref="N25:R27"/>
    <mergeCell ref="S25:W27"/>
    <mergeCell ref="X25:AB27"/>
    <mergeCell ref="AC25:AG27"/>
    <mergeCell ref="H20:H24"/>
    <mergeCell ref="I20:M22"/>
    <mergeCell ref="N20:R22"/>
    <mergeCell ref="S20:W22"/>
    <mergeCell ref="X20:AB22"/>
    <mergeCell ref="AC20:AG22"/>
    <mergeCell ref="AK20:AO21"/>
    <mergeCell ref="AP20:AT21"/>
    <mergeCell ref="AU20:AY21"/>
    <mergeCell ref="AK22:AO23"/>
    <mergeCell ref="AP22:AT23"/>
    <mergeCell ref="AU22:AY23"/>
    <mergeCell ref="I23:M24"/>
    <mergeCell ref="N23:R24"/>
    <mergeCell ref="S23:W24"/>
    <mergeCell ref="X23:AB24"/>
    <mergeCell ref="AC23:AG24"/>
    <mergeCell ref="AK24:AY24"/>
    <mergeCell ref="X15:AB17"/>
    <mergeCell ref="AC15:AG17"/>
    <mergeCell ref="AK16:AO17"/>
    <mergeCell ref="AP16:AT17"/>
    <mergeCell ref="AU16:AY17"/>
    <mergeCell ref="D17:G18"/>
    <mergeCell ref="I18:M19"/>
    <mergeCell ref="N18:R19"/>
    <mergeCell ref="S18:W19"/>
    <mergeCell ref="X18:AB19"/>
    <mergeCell ref="AC18:AG19"/>
    <mergeCell ref="AK18:AO19"/>
    <mergeCell ref="AP18:AT19"/>
    <mergeCell ref="AU18:AY19"/>
    <mergeCell ref="AK10:AO11"/>
    <mergeCell ref="AP10:AT11"/>
    <mergeCell ref="AU10:AY11"/>
    <mergeCell ref="AK12:AO13"/>
    <mergeCell ref="AP12:AT13"/>
    <mergeCell ref="AU12:AY13"/>
    <mergeCell ref="H10:H14"/>
    <mergeCell ref="I10:M12"/>
    <mergeCell ref="N10:R12"/>
    <mergeCell ref="S10:W12"/>
    <mergeCell ref="X10:AB12"/>
    <mergeCell ref="AC10:AG12"/>
    <mergeCell ref="I13:M14"/>
    <mergeCell ref="N13:R14"/>
    <mergeCell ref="S13:W14"/>
    <mergeCell ref="X13:AB14"/>
    <mergeCell ref="AC13:AG14"/>
    <mergeCell ref="AK14:AO15"/>
    <mergeCell ref="AP14:AT15"/>
    <mergeCell ref="AU14:AY15"/>
    <mergeCell ref="H15:H19"/>
    <mergeCell ref="I15:M17"/>
    <mergeCell ref="N15:R17"/>
    <mergeCell ref="S15:W17"/>
    <mergeCell ref="H5:H9"/>
    <mergeCell ref="I5:M7"/>
    <mergeCell ref="N5:R7"/>
    <mergeCell ref="S5:W7"/>
    <mergeCell ref="X5:AB7"/>
    <mergeCell ref="AC5:AG7"/>
    <mergeCell ref="AK6:AO7"/>
    <mergeCell ref="AP6:AT7"/>
    <mergeCell ref="AU6:AY7"/>
    <mergeCell ref="I8:M9"/>
    <mergeCell ref="N8:R9"/>
    <mergeCell ref="S8:W9"/>
    <mergeCell ref="X8:AB9"/>
    <mergeCell ref="AC8:AG9"/>
    <mergeCell ref="AK8:AO9"/>
    <mergeCell ref="AP8:AT9"/>
    <mergeCell ref="AU8:AY9"/>
    <mergeCell ref="T1:V2"/>
    <mergeCell ref="I4:M4"/>
    <mergeCell ref="N4:R4"/>
    <mergeCell ref="S4:W4"/>
    <mergeCell ref="X4:AB4"/>
    <mergeCell ref="AC4:AG4"/>
    <mergeCell ref="AK4:AO5"/>
    <mergeCell ref="AP4:AT5"/>
    <mergeCell ref="AU4:AY5"/>
  </mergeCells>
  <pageMargins left="0.25" right="0.25" top="0.75" bottom="0.75" header="0.3" footer="0.3"/>
  <pageSetup paperSize="9" scale="71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B59C9-F10D-473A-B928-26389041D16D}">
  <sheetPr>
    <pageSetUpPr fitToPage="1"/>
  </sheetPr>
  <dimension ref="A1:AZ58"/>
  <sheetViews>
    <sheetView workbookViewId="0">
      <selection activeCell="A42" sqref="A42:AY52"/>
    </sheetView>
  </sheetViews>
  <sheetFormatPr defaultColWidth="2.7109375" defaultRowHeight="15" x14ac:dyDescent="0.25"/>
  <cols>
    <col min="1" max="7" width="2.7109375" style="1"/>
    <col min="8" max="8" width="2.7109375" style="1" customWidth="1"/>
    <col min="9" max="16384" width="2.7109375" style="1"/>
  </cols>
  <sheetData>
    <row r="1" spans="5:51" x14ac:dyDescent="0.25">
      <c r="I1" s="7"/>
      <c r="J1" s="8"/>
      <c r="K1" s="8"/>
      <c r="L1" s="8"/>
      <c r="M1" s="8"/>
      <c r="N1" s="8"/>
      <c r="O1" s="8"/>
      <c r="P1" s="8"/>
      <c r="Q1" s="8"/>
      <c r="R1" s="8"/>
      <c r="S1" s="8"/>
      <c r="T1" s="49">
        <f>SUM(I4:AG4)</f>
        <v>50</v>
      </c>
      <c r="U1" s="66"/>
      <c r="V1" s="66"/>
      <c r="W1" s="8"/>
      <c r="X1" s="8"/>
      <c r="Y1" s="8"/>
      <c r="Z1" s="8"/>
      <c r="AA1" s="8"/>
      <c r="AB1" s="8"/>
      <c r="AC1" s="8"/>
      <c r="AD1" s="8"/>
      <c r="AE1" s="8"/>
      <c r="AF1" s="8"/>
      <c r="AG1" s="9"/>
    </row>
    <row r="2" spans="5:51" x14ac:dyDescent="0.25"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66"/>
      <c r="U2" s="66"/>
      <c r="V2" s="66"/>
      <c r="W2" s="3"/>
      <c r="X2" s="3"/>
      <c r="Y2" s="3"/>
      <c r="Z2" s="3"/>
      <c r="AA2" s="3"/>
      <c r="AB2" s="3"/>
      <c r="AC2" s="3"/>
      <c r="AD2" s="3"/>
      <c r="AE2" s="3"/>
      <c r="AF2" s="3"/>
      <c r="AG2" s="4"/>
    </row>
    <row r="4" spans="5:51" x14ac:dyDescent="0.25">
      <c r="I4" s="82">
        <v>10</v>
      </c>
      <c r="J4" s="82"/>
      <c r="K4" s="82"/>
      <c r="L4" s="82"/>
      <c r="M4" s="82"/>
      <c r="N4" s="82">
        <v>10</v>
      </c>
      <c r="O4" s="82"/>
      <c r="P4" s="82"/>
      <c r="Q4" s="82"/>
      <c r="R4" s="82"/>
      <c r="S4" s="82">
        <v>10</v>
      </c>
      <c r="T4" s="82"/>
      <c r="U4" s="82"/>
      <c r="V4" s="82"/>
      <c r="W4" s="82"/>
      <c r="X4" s="82">
        <v>10</v>
      </c>
      <c r="Y4" s="82"/>
      <c r="Z4" s="82"/>
      <c r="AA4" s="82"/>
      <c r="AB4" s="82"/>
      <c r="AC4" s="82">
        <v>10</v>
      </c>
      <c r="AD4" s="82"/>
      <c r="AE4" s="82"/>
      <c r="AF4" s="82"/>
      <c r="AG4" s="82"/>
      <c r="AK4" s="83" t="s">
        <v>0</v>
      </c>
      <c r="AL4" s="83"/>
      <c r="AM4" s="83"/>
      <c r="AN4" s="83"/>
      <c r="AO4" s="83"/>
      <c r="AP4" s="83" t="s">
        <v>1</v>
      </c>
      <c r="AQ4" s="83"/>
      <c r="AR4" s="83"/>
      <c r="AS4" s="83"/>
      <c r="AT4" s="83"/>
      <c r="AU4" s="83" t="s">
        <v>2</v>
      </c>
      <c r="AV4" s="83"/>
      <c r="AW4" s="83"/>
      <c r="AX4" s="83"/>
      <c r="AY4" s="83"/>
    </row>
    <row r="5" spans="5:51" x14ac:dyDescent="0.25">
      <c r="E5" s="4"/>
      <c r="F5" s="2"/>
      <c r="H5" s="59">
        <v>10</v>
      </c>
      <c r="I5" s="60">
        <f>100-1.35</f>
        <v>98.65</v>
      </c>
      <c r="J5" s="61"/>
      <c r="K5" s="61"/>
      <c r="L5" s="61"/>
      <c r="M5" s="62"/>
      <c r="N5" s="60">
        <f>100-1.39</f>
        <v>98.61</v>
      </c>
      <c r="O5" s="61"/>
      <c r="P5" s="61"/>
      <c r="Q5" s="61"/>
      <c r="R5" s="62"/>
      <c r="S5" s="60">
        <f>100-1.32</f>
        <v>98.68</v>
      </c>
      <c r="T5" s="61"/>
      <c r="U5" s="61"/>
      <c r="V5" s="61"/>
      <c r="W5" s="62"/>
      <c r="X5" s="60">
        <f>100-1.32</f>
        <v>98.68</v>
      </c>
      <c r="Y5" s="61"/>
      <c r="Z5" s="61"/>
      <c r="AA5" s="61"/>
      <c r="AB5" s="62"/>
      <c r="AC5" s="60">
        <f>100-1.32</f>
        <v>98.68</v>
      </c>
      <c r="AD5" s="61"/>
      <c r="AE5" s="61"/>
      <c r="AF5" s="61"/>
      <c r="AG5" s="62"/>
      <c r="AK5" s="83"/>
      <c r="AL5" s="83"/>
      <c r="AM5" s="83"/>
      <c r="AN5" s="83"/>
      <c r="AO5" s="83"/>
      <c r="AP5" s="83"/>
      <c r="AQ5" s="83"/>
      <c r="AR5" s="83"/>
      <c r="AS5" s="83"/>
      <c r="AT5" s="83"/>
      <c r="AU5" s="83"/>
      <c r="AV5" s="83"/>
      <c r="AW5" s="83"/>
      <c r="AX5" s="83"/>
      <c r="AY5" s="83"/>
    </row>
    <row r="6" spans="5:51" x14ac:dyDescent="0.25">
      <c r="E6" s="6"/>
      <c r="F6" s="5"/>
      <c r="H6" s="59"/>
      <c r="I6" s="63"/>
      <c r="J6" s="49"/>
      <c r="K6" s="49"/>
      <c r="L6" s="49"/>
      <c r="M6" s="64"/>
      <c r="N6" s="63"/>
      <c r="O6" s="49"/>
      <c r="P6" s="49"/>
      <c r="Q6" s="49"/>
      <c r="R6" s="64"/>
      <c r="S6" s="63"/>
      <c r="T6" s="49"/>
      <c r="U6" s="49"/>
      <c r="V6" s="49"/>
      <c r="W6" s="64"/>
      <c r="X6" s="63"/>
      <c r="Y6" s="49"/>
      <c r="Z6" s="49"/>
      <c r="AA6" s="49"/>
      <c r="AB6" s="64"/>
      <c r="AC6" s="63"/>
      <c r="AD6" s="49"/>
      <c r="AE6" s="49"/>
      <c r="AF6" s="49"/>
      <c r="AG6" s="64"/>
      <c r="AK6" s="80" t="s">
        <v>16</v>
      </c>
      <c r="AL6" s="80"/>
      <c r="AM6" s="80"/>
      <c r="AN6" s="80"/>
      <c r="AO6" s="80"/>
      <c r="AP6" s="81">
        <f>SUM(I5+N5+S5+X5+AC5+AC10+AC15+AC20+AC25+AC30+AC35+X35+S35+N35+I35+I30+I25+I20+I15+I10)/20</f>
        <v>98.65300000000002</v>
      </c>
      <c r="AQ6" s="81"/>
      <c r="AR6" s="81"/>
      <c r="AS6" s="81"/>
      <c r="AT6" s="81"/>
      <c r="AU6" s="81">
        <f>100-AP6</f>
        <v>1.34699999999998</v>
      </c>
      <c r="AV6" s="81"/>
      <c r="AW6" s="81"/>
      <c r="AX6" s="81"/>
      <c r="AY6" s="81"/>
    </row>
    <row r="7" spans="5:51" x14ac:dyDescent="0.25">
      <c r="E7" s="6"/>
      <c r="F7" s="5"/>
      <c r="H7" s="59"/>
      <c r="I7" s="63"/>
      <c r="J7" s="49"/>
      <c r="K7" s="49"/>
      <c r="L7" s="49"/>
      <c r="M7" s="64"/>
      <c r="N7" s="63"/>
      <c r="O7" s="49"/>
      <c r="P7" s="49"/>
      <c r="Q7" s="49"/>
      <c r="R7" s="64"/>
      <c r="S7" s="63"/>
      <c r="T7" s="49"/>
      <c r="U7" s="49"/>
      <c r="V7" s="49"/>
      <c r="W7" s="64"/>
      <c r="X7" s="63"/>
      <c r="Y7" s="49"/>
      <c r="Z7" s="49"/>
      <c r="AA7" s="49"/>
      <c r="AB7" s="64"/>
      <c r="AC7" s="63"/>
      <c r="AD7" s="49"/>
      <c r="AE7" s="49"/>
      <c r="AF7" s="49"/>
      <c r="AG7" s="64"/>
      <c r="AK7" s="80"/>
      <c r="AL7" s="80"/>
      <c r="AM7" s="80"/>
      <c r="AN7" s="80"/>
      <c r="AO7" s="80"/>
      <c r="AP7" s="81"/>
      <c r="AQ7" s="81"/>
      <c r="AR7" s="81"/>
      <c r="AS7" s="81"/>
      <c r="AT7" s="81"/>
      <c r="AU7" s="81"/>
      <c r="AV7" s="81"/>
      <c r="AW7" s="81"/>
      <c r="AX7" s="81"/>
      <c r="AY7" s="81"/>
    </row>
    <row r="8" spans="5:51" x14ac:dyDescent="0.25">
      <c r="E8" s="6"/>
      <c r="F8" s="5"/>
      <c r="H8" s="59"/>
      <c r="I8" s="65">
        <v>1</v>
      </c>
      <c r="J8" s="66"/>
      <c r="K8" s="66"/>
      <c r="L8" s="66"/>
      <c r="M8" s="67"/>
      <c r="N8" s="65">
        <v>2</v>
      </c>
      <c r="O8" s="66"/>
      <c r="P8" s="66"/>
      <c r="Q8" s="66"/>
      <c r="R8" s="67"/>
      <c r="S8" s="65">
        <v>3</v>
      </c>
      <c r="T8" s="66"/>
      <c r="U8" s="66"/>
      <c r="V8" s="66"/>
      <c r="W8" s="67"/>
      <c r="X8" s="65">
        <v>4</v>
      </c>
      <c r="Y8" s="66"/>
      <c r="Z8" s="66"/>
      <c r="AA8" s="66"/>
      <c r="AB8" s="67"/>
      <c r="AC8" s="65">
        <v>5</v>
      </c>
      <c r="AD8" s="66"/>
      <c r="AE8" s="66"/>
      <c r="AF8" s="66"/>
      <c r="AG8" s="67"/>
      <c r="AK8" s="80" t="s">
        <v>15</v>
      </c>
      <c r="AL8" s="80"/>
      <c r="AM8" s="80"/>
      <c r="AN8" s="80"/>
      <c r="AO8" s="80"/>
      <c r="AP8" s="81">
        <f>SUM(N10+S10+X10+X15+X20+X25+X30+S30+N30+N25+N20+N15+S15+S20+S25)/15</f>
        <v>98.403977777777783</v>
      </c>
      <c r="AQ8" s="81"/>
      <c r="AR8" s="81"/>
      <c r="AS8" s="81"/>
      <c r="AT8" s="81"/>
      <c r="AU8" s="81">
        <f>100-AP8</f>
        <v>1.5960222222222171</v>
      </c>
      <c r="AV8" s="81"/>
      <c r="AW8" s="81"/>
      <c r="AX8" s="81"/>
      <c r="AY8" s="81"/>
    </row>
    <row r="9" spans="5:51" x14ac:dyDescent="0.25">
      <c r="E9" s="6"/>
      <c r="F9" s="5"/>
      <c r="H9" s="59"/>
      <c r="I9" s="68"/>
      <c r="J9" s="69"/>
      <c r="K9" s="69"/>
      <c r="L9" s="69"/>
      <c r="M9" s="70"/>
      <c r="N9" s="68"/>
      <c r="O9" s="69"/>
      <c r="P9" s="69"/>
      <c r="Q9" s="69"/>
      <c r="R9" s="70"/>
      <c r="S9" s="68"/>
      <c r="T9" s="69"/>
      <c r="U9" s="69"/>
      <c r="V9" s="69"/>
      <c r="W9" s="70"/>
      <c r="X9" s="68"/>
      <c r="Y9" s="69"/>
      <c r="Z9" s="69"/>
      <c r="AA9" s="69"/>
      <c r="AB9" s="70"/>
      <c r="AC9" s="68"/>
      <c r="AD9" s="69"/>
      <c r="AE9" s="69"/>
      <c r="AF9" s="69"/>
      <c r="AG9" s="70"/>
      <c r="AK9" s="80"/>
      <c r="AL9" s="80"/>
      <c r="AM9" s="80"/>
      <c r="AN9" s="80"/>
      <c r="AO9" s="80"/>
      <c r="AP9" s="81"/>
      <c r="AQ9" s="81"/>
      <c r="AR9" s="81"/>
      <c r="AS9" s="81"/>
      <c r="AT9" s="81"/>
      <c r="AU9" s="81"/>
      <c r="AV9" s="81"/>
      <c r="AW9" s="81"/>
      <c r="AX9" s="81"/>
      <c r="AY9" s="81"/>
    </row>
    <row r="10" spans="5:51" x14ac:dyDescent="0.25">
      <c r="E10" s="6"/>
      <c r="F10" s="5"/>
      <c r="H10" s="59">
        <v>10</v>
      </c>
      <c r="I10" s="60">
        <f>100-1.35</f>
        <v>98.65</v>
      </c>
      <c r="J10" s="61"/>
      <c r="K10" s="61"/>
      <c r="L10" s="61"/>
      <c r="M10" s="62"/>
      <c r="N10" s="60">
        <f>SUM(I10+I5+N5)/3-0.27</f>
        <v>98.366666666666674</v>
      </c>
      <c r="O10" s="61"/>
      <c r="P10" s="61"/>
      <c r="Q10" s="61"/>
      <c r="R10" s="62"/>
      <c r="S10" s="60">
        <f>S5-0.25</f>
        <v>98.43</v>
      </c>
      <c r="T10" s="61"/>
      <c r="U10" s="61"/>
      <c r="V10" s="61"/>
      <c r="W10" s="62"/>
      <c r="X10" s="60">
        <f>SUM(X5+AC5+AC10)/3-0.27</f>
        <v>98.4</v>
      </c>
      <c r="Y10" s="61"/>
      <c r="Z10" s="61"/>
      <c r="AA10" s="61"/>
      <c r="AB10" s="62"/>
      <c r="AC10" s="60">
        <f>100-1.35</f>
        <v>98.65</v>
      </c>
      <c r="AD10" s="61"/>
      <c r="AE10" s="61"/>
      <c r="AF10" s="61"/>
      <c r="AG10" s="62"/>
      <c r="AK10" s="80"/>
      <c r="AL10" s="80"/>
      <c r="AM10" s="80"/>
      <c r="AN10" s="80"/>
      <c r="AO10" s="80"/>
      <c r="AP10" s="81"/>
      <c r="AQ10" s="81"/>
      <c r="AR10" s="81"/>
      <c r="AS10" s="81"/>
      <c r="AT10" s="81"/>
      <c r="AU10" s="81"/>
      <c r="AV10" s="81"/>
      <c r="AW10" s="81"/>
      <c r="AX10" s="81"/>
      <c r="AY10" s="81"/>
    </row>
    <row r="11" spans="5:51" x14ac:dyDescent="0.25">
      <c r="E11" s="6"/>
      <c r="F11" s="5"/>
      <c r="H11" s="59"/>
      <c r="I11" s="63"/>
      <c r="J11" s="49"/>
      <c r="K11" s="49"/>
      <c r="L11" s="49"/>
      <c r="M11" s="64"/>
      <c r="N11" s="63"/>
      <c r="O11" s="49"/>
      <c r="P11" s="49"/>
      <c r="Q11" s="49"/>
      <c r="R11" s="64"/>
      <c r="S11" s="63"/>
      <c r="T11" s="49"/>
      <c r="U11" s="49"/>
      <c r="V11" s="49"/>
      <c r="W11" s="64"/>
      <c r="X11" s="63"/>
      <c r="Y11" s="49"/>
      <c r="Z11" s="49"/>
      <c r="AA11" s="49"/>
      <c r="AB11" s="64"/>
      <c r="AC11" s="63"/>
      <c r="AD11" s="49"/>
      <c r="AE11" s="49"/>
      <c r="AF11" s="49"/>
      <c r="AG11" s="64"/>
      <c r="AK11" s="80"/>
      <c r="AL11" s="80"/>
      <c r="AM11" s="80"/>
      <c r="AN11" s="80"/>
      <c r="AO11" s="80"/>
      <c r="AP11" s="81"/>
      <c r="AQ11" s="81"/>
      <c r="AR11" s="81"/>
      <c r="AS11" s="81"/>
      <c r="AT11" s="81"/>
      <c r="AU11" s="81"/>
      <c r="AV11" s="81"/>
      <c r="AW11" s="81"/>
      <c r="AX11" s="81"/>
      <c r="AY11" s="81"/>
    </row>
    <row r="12" spans="5:51" x14ac:dyDescent="0.25">
      <c r="E12" s="6"/>
      <c r="F12" s="5"/>
      <c r="H12" s="59"/>
      <c r="I12" s="63"/>
      <c r="J12" s="49"/>
      <c r="K12" s="49"/>
      <c r="L12" s="49"/>
      <c r="M12" s="64"/>
      <c r="N12" s="63"/>
      <c r="O12" s="49"/>
      <c r="P12" s="49"/>
      <c r="Q12" s="49"/>
      <c r="R12" s="64"/>
      <c r="S12" s="63"/>
      <c r="T12" s="49"/>
      <c r="U12" s="49"/>
      <c r="V12" s="49"/>
      <c r="W12" s="64"/>
      <c r="X12" s="63"/>
      <c r="Y12" s="49"/>
      <c r="Z12" s="49"/>
      <c r="AA12" s="49"/>
      <c r="AB12" s="64"/>
      <c r="AC12" s="63"/>
      <c r="AD12" s="49"/>
      <c r="AE12" s="49"/>
      <c r="AF12" s="49"/>
      <c r="AG12" s="64"/>
      <c r="AK12" s="80"/>
      <c r="AL12" s="80"/>
      <c r="AM12" s="80"/>
      <c r="AN12" s="80"/>
      <c r="AO12" s="80"/>
      <c r="AP12" s="81"/>
      <c r="AQ12" s="81"/>
      <c r="AR12" s="81"/>
      <c r="AS12" s="81"/>
      <c r="AT12" s="81"/>
      <c r="AU12" s="81"/>
      <c r="AV12" s="81"/>
      <c r="AW12" s="81"/>
      <c r="AX12" s="81"/>
      <c r="AY12" s="81"/>
    </row>
    <row r="13" spans="5:51" x14ac:dyDescent="0.25">
      <c r="E13" s="6"/>
      <c r="F13" s="5"/>
      <c r="H13" s="59"/>
      <c r="I13" s="65">
        <v>20</v>
      </c>
      <c r="J13" s="66"/>
      <c r="K13" s="66"/>
      <c r="L13" s="66"/>
      <c r="M13" s="67"/>
      <c r="N13" s="65">
        <v>21</v>
      </c>
      <c r="O13" s="66"/>
      <c r="P13" s="66"/>
      <c r="Q13" s="66"/>
      <c r="R13" s="67"/>
      <c r="S13" s="65">
        <v>22</v>
      </c>
      <c r="T13" s="66"/>
      <c r="U13" s="66"/>
      <c r="V13" s="66"/>
      <c r="W13" s="67"/>
      <c r="X13" s="65">
        <v>23</v>
      </c>
      <c r="Y13" s="66"/>
      <c r="Z13" s="66"/>
      <c r="AA13" s="66"/>
      <c r="AB13" s="67"/>
      <c r="AC13" s="65">
        <v>6</v>
      </c>
      <c r="AD13" s="66"/>
      <c r="AE13" s="66"/>
      <c r="AF13" s="66"/>
      <c r="AG13" s="67"/>
      <c r="AK13" s="80"/>
      <c r="AL13" s="80"/>
      <c r="AM13" s="80"/>
      <c r="AN13" s="80"/>
      <c r="AO13" s="80"/>
      <c r="AP13" s="81"/>
      <c r="AQ13" s="81"/>
      <c r="AR13" s="81"/>
      <c r="AS13" s="81"/>
      <c r="AT13" s="81"/>
      <c r="AU13" s="81"/>
      <c r="AV13" s="81"/>
      <c r="AW13" s="81"/>
      <c r="AX13" s="81"/>
      <c r="AY13" s="81"/>
    </row>
    <row r="14" spans="5:51" x14ac:dyDescent="0.25">
      <c r="E14" s="6"/>
      <c r="F14" s="5"/>
      <c r="H14" s="59"/>
      <c r="I14" s="68"/>
      <c r="J14" s="69"/>
      <c r="K14" s="69"/>
      <c r="L14" s="69"/>
      <c r="M14" s="70"/>
      <c r="N14" s="68"/>
      <c r="O14" s="69"/>
      <c r="P14" s="69"/>
      <c r="Q14" s="69"/>
      <c r="R14" s="70"/>
      <c r="S14" s="68"/>
      <c r="T14" s="69"/>
      <c r="U14" s="69"/>
      <c r="V14" s="69"/>
      <c r="W14" s="70"/>
      <c r="X14" s="68"/>
      <c r="Y14" s="69"/>
      <c r="Z14" s="69"/>
      <c r="AA14" s="69"/>
      <c r="AB14" s="70"/>
      <c r="AC14" s="68"/>
      <c r="AD14" s="69"/>
      <c r="AE14" s="69"/>
      <c r="AF14" s="69"/>
      <c r="AG14" s="70"/>
      <c r="AK14" s="80"/>
      <c r="AL14" s="80"/>
      <c r="AM14" s="80"/>
      <c r="AN14" s="80"/>
      <c r="AO14" s="80"/>
      <c r="AP14" s="81"/>
      <c r="AQ14" s="81"/>
      <c r="AR14" s="81"/>
      <c r="AS14" s="81"/>
      <c r="AT14" s="81"/>
      <c r="AU14" s="81"/>
      <c r="AV14" s="81"/>
      <c r="AW14" s="81"/>
      <c r="AX14" s="81"/>
      <c r="AY14" s="81"/>
    </row>
    <row r="15" spans="5:51" x14ac:dyDescent="0.25">
      <c r="E15" s="6"/>
      <c r="F15" s="5"/>
      <c r="H15" s="59">
        <v>10</v>
      </c>
      <c r="I15" s="60">
        <f>100-1.38</f>
        <v>98.62</v>
      </c>
      <c r="J15" s="61"/>
      <c r="K15" s="61"/>
      <c r="L15" s="61"/>
      <c r="M15" s="62"/>
      <c r="N15" s="60">
        <f>I15-0.23</f>
        <v>98.39</v>
      </c>
      <c r="O15" s="61"/>
      <c r="P15" s="61"/>
      <c r="Q15" s="61"/>
      <c r="R15" s="62"/>
      <c r="S15" s="60">
        <f>SUM(N15+N10+S10+X10+X15)/5</f>
        <v>98.407333333333341</v>
      </c>
      <c r="T15" s="61"/>
      <c r="U15" s="61"/>
      <c r="V15" s="61"/>
      <c r="W15" s="62"/>
      <c r="X15" s="60">
        <f>AC15-0.25</f>
        <v>98.45</v>
      </c>
      <c r="Y15" s="61"/>
      <c r="Z15" s="61"/>
      <c r="AA15" s="61"/>
      <c r="AB15" s="62"/>
      <c r="AC15" s="60">
        <f>100-1.3</f>
        <v>98.7</v>
      </c>
      <c r="AD15" s="61"/>
      <c r="AE15" s="61"/>
      <c r="AF15" s="61"/>
      <c r="AG15" s="62"/>
      <c r="AK15" s="80"/>
      <c r="AL15" s="80"/>
      <c r="AM15" s="80"/>
      <c r="AN15" s="80"/>
      <c r="AO15" s="80"/>
      <c r="AP15" s="81"/>
      <c r="AQ15" s="81"/>
      <c r="AR15" s="81"/>
      <c r="AS15" s="81"/>
      <c r="AT15" s="81"/>
      <c r="AU15" s="81"/>
      <c r="AV15" s="81"/>
      <c r="AW15" s="81"/>
      <c r="AX15" s="81"/>
      <c r="AY15" s="81"/>
    </row>
    <row r="16" spans="5:51" x14ac:dyDescent="0.25">
      <c r="E16" s="6"/>
      <c r="F16" s="5"/>
      <c r="H16" s="59"/>
      <c r="I16" s="63"/>
      <c r="J16" s="49"/>
      <c r="K16" s="49"/>
      <c r="L16" s="49"/>
      <c r="M16" s="64"/>
      <c r="N16" s="63"/>
      <c r="O16" s="49"/>
      <c r="P16" s="49"/>
      <c r="Q16" s="49"/>
      <c r="R16" s="64"/>
      <c r="S16" s="63"/>
      <c r="T16" s="49"/>
      <c r="U16" s="49"/>
      <c r="V16" s="49"/>
      <c r="W16" s="64"/>
      <c r="X16" s="63"/>
      <c r="Y16" s="49"/>
      <c r="Z16" s="49"/>
      <c r="AA16" s="49"/>
      <c r="AB16" s="64"/>
      <c r="AC16" s="63"/>
      <c r="AD16" s="49"/>
      <c r="AE16" s="49"/>
      <c r="AF16" s="49"/>
      <c r="AG16" s="64"/>
      <c r="AK16" s="80"/>
      <c r="AL16" s="80"/>
      <c r="AM16" s="80"/>
      <c r="AN16" s="80"/>
      <c r="AO16" s="80"/>
      <c r="AP16" s="81"/>
      <c r="AQ16" s="81"/>
      <c r="AR16" s="81"/>
      <c r="AS16" s="81"/>
      <c r="AT16" s="81"/>
      <c r="AU16" s="81"/>
      <c r="AV16" s="81"/>
      <c r="AW16" s="81"/>
      <c r="AX16" s="81"/>
      <c r="AY16" s="81"/>
    </row>
    <row r="17" spans="4:51" x14ac:dyDescent="0.25">
      <c r="D17" s="49">
        <f>SUM(H3:H37)</f>
        <v>70</v>
      </c>
      <c r="E17" s="49"/>
      <c r="F17" s="49"/>
      <c r="G17" s="49"/>
      <c r="H17" s="59"/>
      <c r="I17" s="63"/>
      <c r="J17" s="49"/>
      <c r="K17" s="49"/>
      <c r="L17" s="49"/>
      <c r="M17" s="64"/>
      <c r="N17" s="63"/>
      <c r="O17" s="49"/>
      <c r="P17" s="49"/>
      <c r="Q17" s="49"/>
      <c r="R17" s="64"/>
      <c r="S17" s="63"/>
      <c r="T17" s="49"/>
      <c r="U17" s="49"/>
      <c r="V17" s="49"/>
      <c r="W17" s="64"/>
      <c r="X17" s="63"/>
      <c r="Y17" s="49"/>
      <c r="Z17" s="49"/>
      <c r="AA17" s="49"/>
      <c r="AB17" s="64"/>
      <c r="AC17" s="63"/>
      <c r="AD17" s="49"/>
      <c r="AE17" s="49"/>
      <c r="AF17" s="49"/>
      <c r="AG17" s="64"/>
      <c r="AK17" s="80"/>
      <c r="AL17" s="80"/>
      <c r="AM17" s="80"/>
      <c r="AN17" s="80"/>
      <c r="AO17" s="80"/>
      <c r="AP17" s="81"/>
      <c r="AQ17" s="81"/>
      <c r="AR17" s="81"/>
      <c r="AS17" s="81"/>
      <c r="AT17" s="81"/>
      <c r="AU17" s="81"/>
      <c r="AV17" s="81"/>
      <c r="AW17" s="81"/>
      <c r="AX17" s="81"/>
      <c r="AY17" s="81"/>
    </row>
    <row r="18" spans="4:51" x14ac:dyDescent="0.25">
      <c r="D18" s="49"/>
      <c r="E18" s="49"/>
      <c r="F18" s="49"/>
      <c r="G18" s="49"/>
      <c r="H18" s="59"/>
      <c r="I18" s="65">
        <v>19</v>
      </c>
      <c r="J18" s="66"/>
      <c r="K18" s="66"/>
      <c r="L18" s="66"/>
      <c r="M18" s="67"/>
      <c r="N18" s="65">
        <v>32</v>
      </c>
      <c r="O18" s="66"/>
      <c r="P18" s="66"/>
      <c r="Q18" s="66"/>
      <c r="R18" s="67"/>
      <c r="S18" s="65">
        <v>33</v>
      </c>
      <c r="T18" s="66"/>
      <c r="U18" s="66"/>
      <c r="V18" s="66"/>
      <c r="W18" s="67"/>
      <c r="X18" s="65">
        <v>24</v>
      </c>
      <c r="Y18" s="66"/>
      <c r="Z18" s="66"/>
      <c r="AA18" s="66"/>
      <c r="AB18" s="67"/>
      <c r="AC18" s="65">
        <v>7</v>
      </c>
      <c r="AD18" s="66"/>
      <c r="AE18" s="66"/>
      <c r="AF18" s="66"/>
      <c r="AG18" s="67"/>
      <c r="AK18" s="80"/>
      <c r="AL18" s="80"/>
      <c r="AM18" s="80"/>
      <c r="AN18" s="80"/>
      <c r="AO18" s="80"/>
      <c r="AP18" s="81"/>
      <c r="AQ18" s="81"/>
      <c r="AR18" s="81"/>
      <c r="AS18" s="81"/>
      <c r="AT18" s="81"/>
      <c r="AU18" s="81"/>
      <c r="AV18" s="81"/>
      <c r="AW18" s="81"/>
      <c r="AX18" s="81"/>
      <c r="AY18" s="81"/>
    </row>
    <row r="19" spans="4:51" x14ac:dyDescent="0.25">
      <c r="D19" s="10"/>
      <c r="E19" s="6"/>
      <c r="F19" s="5"/>
      <c r="G19" s="12"/>
      <c r="H19" s="59"/>
      <c r="I19" s="68"/>
      <c r="J19" s="69"/>
      <c r="K19" s="69"/>
      <c r="L19" s="69"/>
      <c r="M19" s="70"/>
      <c r="N19" s="68"/>
      <c r="O19" s="69"/>
      <c r="P19" s="69"/>
      <c r="Q19" s="69"/>
      <c r="R19" s="70"/>
      <c r="S19" s="68"/>
      <c r="T19" s="69"/>
      <c r="U19" s="69"/>
      <c r="V19" s="69"/>
      <c r="W19" s="70"/>
      <c r="X19" s="68"/>
      <c r="Y19" s="69"/>
      <c r="Z19" s="69"/>
      <c r="AA19" s="69"/>
      <c r="AB19" s="70"/>
      <c r="AC19" s="68"/>
      <c r="AD19" s="69"/>
      <c r="AE19" s="69"/>
      <c r="AF19" s="69"/>
      <c r="AG19" s="70"/>
      <c r="AK19" s="80"/>
      <c r="AL19" s="80"/>
      <c r="AM19" s="80"/>
      <c r="AN19" s="80"/>
      <c r="AO19" s="80"/>
      <c r="AP19" s="81"/>
      <c r="AQ19" s="81"/>
      <c r="AR19" s="81"/>
      <c r="AS19" s="81"/>
      <c r="AT19" s="81"/>
      <c r="AU19" s="81"/>
      <c r="AV19" s="81"/>
      <c r="AW19" s="81"/>
      <c r="AX19" s="81"/>
      <c r="AY19" s="81"/>
    </row>
    <row r="20" spans="4:51" ht="15" customHeight="1" x14ac:dyDescent="0.25">
      <c r="D20" s="10"/>
      <c r="E20" s="6"/>
      <c r="F20" s="5"/>
      <c r="G20" s="12"/>
      <c r="H20" s="59">
        <v>10</v>
      </c>
      <c r="I20" s="60">
        <f>100-1.33</f>
        <v>98.67</v>
      </c>
      <c r="J20" s="61"/>
      <c r="K20" s="61"/>
      <c r="L20" s="61"/>
      <c r="M20" s="62"/>
      <c r="N20" s="60">
        <f>I20-0.23</f>
        <v>98.44</v>
      </c>
      <c r="O20" s="61"/>
      <c r="P20" s="61"/>
      <c r="Q20" s="61"/>
      <c r="R20" s="62"/>
      <c r="S20" s="60">
        <f>SUM(N20+N15+S15+X15+X20+X25+S25+N25)/8</f>
        <v>98.413666666666657</v>
      </c>
      <c r="T20" s="61"/>
      <c r="U20" s="61"/>
      <c r="V20" s="61"/>
      <c r="W20" s="62"/>
      <c r="X20" s="60">
        <f>AC20-0.25</f>
        <v>98.41</v>
      </c>
      <c r="Y20" s="61"/>
      <c r="Z20" s="61"/>
      <c r="AA20" s="61"/>
      <c r="AB20" s="62"/>
      <c r="AC20" s="60">
        <f>100-1.34</f>
        <v>98.66</v>
      </c>
      <c r="AD20" s="61"/>
      <c r="AE20" s="61"/>
      <c r="AF20" s="61"/>
      <c r="AG20" s="62"/>
      <c r="AK20" s="80"/>
      <c r="AL20" s="80"/>
      <c r="AM20" s="80"/>
      <c r="AN20" s="80"/>
      <c r="AO20" s="80"/>
      <c r="AP20" s="81"/>
      <c r="AQ20" s="81"/>
      <c r="AR20" s="81"/>
      <c r="AS20" s="81"/>
      <c r="AT20" s="81"/>
      <c r="AU20" s="81"/>
      <c r="AV20" s="81"/>
      <c r="AW20" s="81"/>
      <c r="AX20" s="81"/>
      <c r="AY20" s="81"/>
    </row>
    <row r="21" spans="4:51" x14ac:dyDescent="0.25">
      <c r="D21" s="10"/>
      <c r="E21" s="6"/>
      <c r="F21" s="5"/>
      <c r="G21" s="12"/>
      <c r="H21" s="59"/>
      <c r="I21" s="63"/>
      <c r="J21" s="49"/>
      <c r="K21" s="49"/>
      <c r="L21" s="49"/>
      <c r="M21" s="64"/>
      <c r="N21" s="63"/>
      <c r="O21" s="49"/>
      <c r="P21" s="49"/>
      <c r="Q21" s="49"/>
      <c r="R21" s="64"/>
      <c r="S21" s="63"/>
      <c r="T21" s="49"/>
      <c r="U21" s="49"/>
      <c r="V21" s="49"/>
      <c r="W21" s="64"/>
      <c r="X21" s="63"/>
      <c r="Y21" s="49"/>
      <c r="Z21" s="49"/>
      <c r="AA21" s="49"/>
      <c r="AB21" s="64"/>
      <c r="AC21" s="63"/>
      <c r="AD21" s="49"/>
      <c r="AE21" s="49"/>
      <c r="AF21" s="49"/>
      <c r="AG21" s="64"/>
      <c r="AK21" s="80"/>
      <c r="AL21" s="80"/>
      <c r="AM21" s="80"/>
      <c r="AN21" s="80"/>
      <c r="AO21" s="80"/>
      <c r="AP21" s="81"/>
      <c r="AQ21" s="81"/>
      <c r="AR21" s="81"/>
      <c r="AS21" s="81"/>
      <c r="AT21" s="81"/>
      <c r="AU21" s="81"/>
      <c r="AV21" s="81"/>
      <c r="AW21" s="81"/>
      <c r="AX21" s="81"/>
      <c r="AY21" s="81"/>
    </row>
    <row r="22" spans="4:51" x14ac:dyDescent="0.25">
      <c r="D22" s="10"/>
      <c r="E22" s="6"/>
      <c r="F22" s="5"/>
      <c r="G22" s="12"/>
      <c r="H22" s="59"/>
      <c r="I22" s="63"/>
      <c r="J22" s="49"/>
      <c r="K22" s="49"/>
      <c r="L22" s="49"/>
      <c r="M22" s="64"/>
      <c r="N22" s="63"/>
      <c r="O22" s="49"/>
      <c r="P22" s="49"/>
      <c r="Q22" s="49"/>
      <c r="R22" s="64"/>
      <c r="S22" s="63"/>
      <c r="T22" s="49"/>
      <c r="U22" s="49"/>
      <c r="V22" s="49"/>
      <c r="W22" s="64"/>
      <c r="X22" s="63"/>
      <c r="Y22" s="49"/>
      <c r="Z22" s="49"/>
      <c r="AA22" s="49"/>
      <c r="AB22" s="64"/>
      <c r="AC22" s="63"/>
      <c r="AD22" s="49"/>
      <c r="AE22" s="49"/>
      <c r="AF22" s="49"/>
      <c r="AG22" s="64"/>
      <c r="AK22" s="80"/>
      <c r="AL22" s="80"/>
      <c r="AM22" s="80"/>
      <c r="AN22" s="80"/>
      <c r="AO22" s="80"/>
      <c r="AP22" s="81"/>
      <c r="AQ22" s="81"/>
      <c r="AR22" s="81"/>
      <c r="AS22" s="81"/>
      <c r="AT22" s="81"/>
      <c r="AU22" s="81"/>
      <c r="AV22" s="81"/>
      <c r="AW22" s="81"/>
      <c r="AX22" s="81"/>
      <c r="AY22" s="81"/>
    </row>
    <row r="23" spans="4:51" x14ac:dyDescent="0.25">
      <c r="D23" s="10"/>
      <c r="E23" s="6"/>
      <c r="F23" s="5"/>
      <c r="G23" s="12"/>
      <c r="H23" s="59"/>
      <c r="I23" s="65">
        <v>18</v>
      </c>
      <c r="J23" s="66"/>
      <c r="K23" s="66"/>
      <c r="L23" s="66"/>
      <c r="M23" s="67"/>
      <c r="N23" s="65">
        <v>31</v>
      </c>
      <c r="O23" s="66"/>
      <c r="P23" s="66"/>
      <c r="Q23" s="66"/>
      <c r="R23" s="67"/>
      <c r="S23" s="65">
        <v>34</v>
      </c>
      <c r="T23" s="66"/>
      <c r="U23" s="66"/>
      <c r="V23" s="66"/>
      <c r="W23" s="67"/>
      <c r="X23" s="65">
        <v>25</v>
      </c>
      <c r="Y23" s="66"/>
      <c r="Z23" s="66"/>
      <c r="AA23" s="66"/>
      <c r="AB23" s="67"/>
      <c r="AC23" s="65">
        <v>8</v>
      </c>
      <c r="AD23" s="66"/>
      <c r="AE23" s="66"/>
      <c r="AF23" s="66"/>
      <c r="AG23" s="67"/>
      <c r="AK23" s="80"/>
      <c r="AL23" s="80"/>
      <c r="AM23" s="80"/>
      <c r="AN23" s="80"/>
      <c r="AO23" s="80"/>
      <c r="AP23" s="81"/>
      <c r="AQ23" s="81"/>
      <c r="AR23" s="81"/>
      <c r="AS23" s="81"/>
      <c r="AT23" s="81"/>
      <c r="AU23" s="81"/>
      <c r="AV23" s="81"/>
      <c r="AW23" s="81"/>
      <c r="AX23" s="81"/>
      <c r="AY23" s="81"/>
    </row>
    <row r="24" spans="4:51" x14ac:dyDescent="0.25">
      <c r="D24" s="10"/>
      <c r="E24" s="6"/>
      <c r="F24" s="5"/>
      <c r="G24" s="12"/>
      <c r="H24" s="59"/>
      <c r="I24" s="68"/>
      <c r="J24" s="69"/>
      <c r="K24" s="69"/>
      <c r="L24" s="69"/>
      <c r="M24" s="70"/>
      <c r="N24" s="68"/>
      <c r="O24" s="69"/>
      <c r="P24" s="69"/>
      <c r="Q24" s="69"/>
      <c r="R24" s="70"/>
      <c r="S24" s="68"/>
      <c r="T24" s="69"/>
      <c r="U24" s="69"/>
      <c r="V24" s="69"/>
      <c r="W24" s="70"/>
      <c r="X24" s="68"/>
      <c r="Y24" s="69"/>
      <c r="Z24" s="69"/>
      <c r="AA24" s="69"/>
      <c r="AB24" s="70"/>
      <c r="AC24" s="68"/>
      <c r="AD24" s="69"/>
      <c r="AE24" s="69"/>
      <c r="AF24" s="69"/>
      <c r="AG24" s="70"/>
      <c r="AK24" s="116"/>
      <c r="AL24" s="117"/>
      <c r="AM24" s="117"/>
      <c r="AN24" s="117"/>
      <c r="AO24" s="117"/>
      <c r="AP24" s="117"/>
      <c r="AQ24" s="117"/>
      <c r="AR24" s="117"/>
      <c r="AS24" s="117"/>
      <c r="AT24" s="117"/>
      <c r="AU24" s="117"/>
      <c r="AV24" s="117"/>
      <c r="AW24" s="117"/>
      <c r="AX24" s="117"/>
      <c r="AY24" s="118"/>
    </row>
    <row r="25" spans="4:51" x14ac:dyDescent="0.25">
      <c r="D25" s="10"/>
      <c r="E25" s="6"/>
      <c r="F25" s="5"/>
      <c r="G25" s="12"/>
      <c r="H25" s="59">
        <v>10</v>
      </c>
      <c r="I25" s="60">
        <f>100-1.36</f>
        <v>98.64</v>
      </c>
      <c r="J25" s="61"/>
      <c r="K25" s="61"/>
      <c r="L25" s="61"/>
      <c r="M25" s="62"/>
      <c r="N25" s="60">
        <f>I25-0.23</f>
        <v>98.41</v>
      </c>
      <c r="O25" s="61"/>
      <c r="P25" s="61"/>
      <c r="Q25" s="61"/>
      <c r="R25" s="62"/>
      <c r="S25" s="60">
        <f>SUM(N25+N30+S30+X30+X25)/5</f>
        <v>98.39200000000001</v>
      </c>
      <c r="T25" s="61"/>
      <c r="U25" s="61"/>
      <c r="V25" s="61"/>
      <c r="W25" s="62"/>
      <c r="X25" s="60">
        <f>AC25-0.25</f>
        <v>98.41</v>
      </c>
      <c r="Y25" s="61"/>
      <c r="Z25" s="61"/>
      <c r="AA25" s="61"/>
      <c r="AB25" s="62"/>
      <c r="AC25" s="60">
        <f>100-1.34</f>
        <v>98.66</v>
      </c>
      <c r="AD25" s="61"/>
      <c r="AE25" s="61"/>
      <c r="AF25" s="61"/>
      <c r="AG25" s="62"/>
      <c r="AK25" s="115" t="s">
        <v>18</v>
      </c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3"/>
    </row>
    <row r="26" spans="4:51" x14ac:dyDescent="0.25">
      <c r="D26" s="10"/>
      <c r="E26" s="6"/>
      <c r="F26" s="5"/>
      <c r="G26" s="12"/>
      <c r="H26" s="59"/>
      <c r="I26" s="63"/>
      <c r="J26" s="49"/>
      <c r="K26" s="49"/>
      <c r="L26" s="49"/>
      <c r="M26" s="64"/>
      <c r="N26" s="63"/>
      <c r="O26" s="49"/>
      <c r="P26" s="49"/>
      <c r="Q26" s="49"/>
      <c r="R26" s="64"/>
      <c r="S26" s="63"/>
      <c r="T26" s="49"/>
      <c r="U26" s="49"/>
      <c r="V26" s="49"/>
      <c r="W26" s="64"/>
      <c r="X26" s="63"/>
      <c r="Y26" s="49"/>
      <c r="Z26" s="49"/>
      <c r="AA26" s="49"/>
      <c r="AB26" s="64"/>
      <c r="AC26" s="63"/>
      <c r="AD26" s="49"/>
      <c r="AE26" s="49"/>
      <c r="AF26" s="49"/>
      <c r="AG26" s="64"/>
      <c r="AK26" s="74"/>
      <c r="AL26" s="75"/>
      <c r="AM26" s="75"/>
      <c r="AN26" s="75"/>
      <c r="AO26" s="75"/>
      <c r="AP26" s="75"/>
      <c r="AQ26" s="75"/>
      <c r="AR26" s="75"/>
      <c r="AS26" s="75"/>
      <c r="AT26" s="75"/>
      <c r="AU26" s="75"/>
      <c r="AV26" s="75"/>
      <c r="AW26" s="75"/>
      <c r="AX26" s="75"/>
      <c r="AY26" s="76"/>
    </row>
    <row r="27" spans="4:51" x14ac:dyDescent="0.25">
      <c r="D27" s="10"/>
      <c r="E27" s="6"/>
      <c r="F27" s="5"/>
      <c r="G27" s="12"/>
      <c r="H27" s="59"/>
      <c r="I27" s="63"/>
      <c r="J27" s="49"/>
      <c r="K27" s="49"/>
      <c r="L27" s="49"/>
      <c r="M27" s="64"/>
      <c r="N27" s="63"/>
      <c r="O27" s="49"/>
      <c r="P27" s="49"/>
      <c r="Q27" s="49"/>
      <c r="R27" s="64"/>
      <c r="S27" s="63"/>
      <c r="T27" s="49"/>
      <c r="U27" s="49"/>
      <c r="V27" s="49"/>
      <c r="W27" s="64"/>
      <c r="X27" s="63"/>
      <c r="Y27" s="49"/>
      <c r="Z27" s="49"/>
      <c r="AA27" s="49"/>
      <c r="AB27" s="64"/>
      <c r="AC27" s="63"/>
      <c r="AD27" s="49"/>
      <c r="AE27" s="49"/>
      <c r="AF27" s="49"/>
      <c r="AG27" s="64"/>
      <c r="AK27" s="74"/>
      <c r="AL27" s="75"/>
      <c r="AM27" s="75"/>
      <c r="AN27" s="75"/>
      <c r="AO27" s="75"/>
      <c r="AP27" s="75"/>
      <c r="AQ27" s="75"/>
      <c r="AR27" s="75"/>
      <c r="AS27" s="75"/>
      <c r="AT27" s="75"/>
      <c r="AU27" s="75"/>
      <c r="AV27" s="75"/>
      <c r="AW27" s="75"/>
      <c r="AX27" s="75"/>
      <c r="AY27" s="76"/>
    </row>
    <row r="28" spans="4:51" x14ac:dyDescent="0.25">
      <c r="D28" s="10"/>
      <c r="E28" s="6"/>
      <c r="F28" s="5"/>
      <c r="G28" s="12"/>
      <c r="H28" s="59"/>
      <c r="I28" s="65">
        <v>17</v>
      </c>
      <c r="J28" s="66"/>
      <c r="K28" s="66"/>
      <c r="L28" s="66"/>
      <c r="M28" s="67"/>
      <c r="N28" s="65">
        <v>30</v>
      </c>
      <c r="O28" s="66"/>
      <c r="P28" s="66"/>
      <c r="Q28" s="66"/>
      <c r="R28" s="67"/>
      <c r="S28" s="65">
        <v>35</v>
      </c>
      <c r="T28" s="66"/>
      <c r="U28" s="66"/>
      <c r="V28" s="66"/>
      <c r="W28" s="67"/>
      <c r="X28" s="65">
        <v>26</v>
      </c>
      <c r="Y28" s="66"/>
      <c r="Z28" s="66"/>
      <c r="AA28" s="66"/>
      <c r="AB28" s="67"/>
      <c r="AC28" s="65">
        <v>9</v>
      </c>
      <c r="AD28" s="66"/>
      <c r="AE28" s="66"/>
      <c r="AF28" s="66"/>
      <c r="AG28" s="67"/>
      <c r="AK28" s="74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5"/>
      <c r="AW28" s="75"/>
      <c r="AX28" s="75"/>
      <c r="AY28" s="76"/>
    </row>
    <row r="29" spans="4:51" x14ac:dyDescent="0.25">
      <c r="D29" s="10"/>
      <c r="E29" s="6"/>
      <c r="F29" s="5"/>
      <c r="G29" s="12"/>
      <c r="H29" s="59"/>
      <c r="I29" s="68"/>
      <c r="J29" s="69"/>
      <c r="K29" s="69"/>
      <c r="L29" s="69"/>
      <c r="M29" s="70"/>
      <c r="N29" s="68"/>
      <c r="O29" s="69"/>
      <c r="P29" s="69"/>
      <c r="Q29" s="69"/>
      <c r="R29" s="70"/>
      <c r="S29" s="68"/>
      <c r="T29" s="69"/>
      <c r="U29" s="69"/>
      <c r="V29" s="69"/>
      <c r="W29" s="70"/>
      <c r="X29" s="68"/>
      <c r="Y29" s="69"/>
      <c r="Z29" s="69"/>
      <c r="AA29" s="69"/>
      <c r="AB29" s="70"/>
      <c r="AC29" s="68"/>
      <c r="AD29" s="69"/>
      <c r="AE29" s="69"/>
      <c r="AF29" s="69"/>
      <c r="AG29" s="70"/>
      <c r="AK29" s="77"/>
      <c r="AL29" s="78"/>
      <c r="AM29" s="78"/>
      <c r="AN29" s="78"/>
      <c r="AO29" s="78"/>
      <c r="AP29" s="78"/>
      <c r="AQ29" s="78"/>
      <c r="AR29" s="78"/>
      <c r="AS29" s="78"/>
      <c r="AT29" s="78"/>
      <c r="AU29" s="78"/>
      <c r="AV29" s="78"/>
      <c r="AW29" s="78"/>
      <c r="AX29" s="78"/>
      <c r="AY29" s="79"/>
    </row>
    <row r="30" spans="4:51" x14ac:dyDescent="0.25">
      <c r="E30" s="6"/>
      <c r="F30" s="5"/>
      <c r="H30" s="59">
        <v>10</v>
      </c>
      <c r="I30" s="60">
        <f>100-1.39</f>
        <v>98.61</v>
      </c>
      <c r="J30" s="61"/>
      <c r="K30" s="61"/>
      <c r="L30" s="61"/>
      <c r="M30" s="62"/>
      <c r="N30" s="60">
        <f>SUM(I30+I35+N35)/3-0.27</f>
        <v>98.336666666666673</v>
      </c>
      <c r="O30" s="61"/>
      <c r="P30" s="61"/>
      <c r="Q30" s="61"/>
      <c r="R30" s="62"/>
      <c r="S30" s="60">
        <f>S35-0.25</f>
        <v>98.39</v>
      </c>
      <c r="T30" s="61"/>
      <c r="U30" s="61"/>
      <c r="V30" s="61"/>
      <c r="W30" s="62"/>
      <c r="X30" s="60">
        <f>SUM(X35+AC35+AC30)/3-0.27</f>
        <v>98.413333333333341</v>
      </c>
      <c r="Y30" s="61"/>
      <c r="Z30" s="61"/>
      <c r="AA30" s="61"/>
      <c r="AB30" s="62"/>
      <c r="AC30" s="60">
        <f>100-1.28</f>
        <v>98.72</v>
      </c>
      <c r="AD30" s="61"/>
      <c r="AE30" s="61"/>
      <c r="AF30" s="61"/>
      <c r="AG30" s="62"/>
      <c r="AK30" s="53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5"/>
    </row>
    <row r="31" spans="4:51" x14ac:dyDescent="0.25">
      <c r="E31" s="6"/>
      <c r="F31" s="5"/>
      <c r="H31" s="59"/>
      <c r="I31" s="63"/>
      <c r="J31" s="49"/>
      <c r="K31" s="49"/>
      <c r="L31" s="49"/>
      <c r="M31" s="64"/>
      <c r="N31" s="63"/>
      <c r="O31" s="49"/>
      <c r="P31" s="49"/>
      <c r="Q31" s="49"/>
      <c r="R31" s="64"/>
      <c r="S31" s="63"/>
      <c r="T31" s="49"/>
      <c r="U31" s="49"/>
      <c r="V31" s="49"/>
      <c r="W31" s="64"/>
      <c r="X31" s="63"/>
      <c r="Y31" s="49"/>
      <c r="Z31" s="49"/>
      <c r="AA31" s="49"/>
      <c r="AB31" s="64"/>
      <c r="AC31" s="63"/>
      <c r="AD31" s="49"/>
      <c r="AE31" s="49"/>
      <c r="AF31" s="49"/>
      <c r="AG31" s="64"/>
      <c r="AK31" s="50" t="s">
        <v>17</v>
      </c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2"/>
    </row>
    <row r="32" spans="4:51" x14ac:dyDescent="0.25">
      <c r="E32" s="6"/>
      <c r="F32" s="5"/>
      <c r="H32" s="59"/>
      <c r="I32" s="63"/>
      <c r="J32" s="49"/>
      <c r="K32" s="49"/>
      <c r="L32" s="49"/>
      <c r="M32" s="64"/>
      <c r="N32" s="63"/>
      <c r="O32" s="49"/>
      <c r="P32" s="49"/>
      <c r="Q32" s="49"/>
      <c r="R32" s="64"/>
      <c r="S32" s="63"/>
      <c r="T32" s="49"/>
      <c r="U32" s="49"/>
      <c r="V32" s="49"/>
      <c r="W32" s="64"/>
      <c r="X32" s="63"/>
      <c r="Y32" s="49"/>
      <c r="Z32" s="49"/>
      <c r="AA32" s="49"/>
      <c r="AB32" s="64"/>
      <c r="AC32" s="63"/>
      <c r="AD32" s="49"/>
      <c r="AE32" s="49"/>
      <c r="AF32" s="49"/>
      <c r="AG32" s="64"/>
      <c r="AK32" s="53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5"/>
    </row>
    <row r="33" spans="1:52" x14ac:dyDescent="0.25">
      <c r="E33" s="6"/>
      <c r="F33" s="5"/>
      <c r="H33" s="59"/>
      <c r="I33" s="65">
        <v>16</v>
      </c>
      <c r="J33" s="66"/>
      <c r="K33" s="66"/>
      <c r="L33" s="66"/>
      <c r="M33" s="67"/>
      <c r="N33" s="65">
        <v>29</v>
      </c>
      <c r="O33" s="66"/>
      <c r="P33" s="66"/>
      <c r="Q33" s="66"/>
      <c r="R33" s="67"/>
      <c r="S33" s="65">
        <v>28</v>
      </c>
      <c r="T33" s="66"/>
      <c r="U33" s="66"/>
      <c r="V33" s="66"/>
      <c r="W33" s="67"/>
      <c r="X33" s="65">
        <v>27</v>
      </c>
      <c r="Y33" s="66"/>
      <c r="Z33" s="66"/>
      <c r="AA33" s="66"/>
      <c r="AB33" s="67"/>
      <c r="AC33" s="65">
        <v>10</v>
      </c>
      <c r="AD33" s="66"/>
      <c r="AE33" s="66"/>
      <c r="AF33" s="66"/>
      <c r="AG33" s="67"/>
      <c r="AK33" s="50" t="s">
        <v>6</v>
      </c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2"/>
    </row>
    <row r="34" spans="1:52" x14ac:dyDescent="0.25">
      <c r="E34" s="6"/>
      <c r="F34" s="5"/>
      <c r="H34" s="59"/>
      <c r="I34" s="68"/>
      <c r="J34" s="69"/>
      <c r="K34" s="69"/>
      <c r="L34" s="69"/>
      <c r="M34" s="70"/>
      <c r="N34" s="68"/>
      <c r="O34" s="69"/>
      <c r="P34" s="69"/>
      <c r="Q34" s="69"/>
      <c r="R34" s="70"/>
      <c r="S34" s="68"/>
      <c r="T34" s="69"/>
      <c r="U34" s="69"/>
      <c r="V34" s="69"/>
      <c r="W34" s="70"/>
      <c r="X34" s="68"/>
      <c r="Y34" s="69"/>
      <c r="Z34" s="69"/>
      <c r="AA34" s="69"/>
      <c r="AB34" s="70"/>
      <c r="AC34" s="68"/>
      <c r="AD34" s="69"/>
      <c r="AE34" s="69"/>
      <c r="AF34" s="69"/>
      <c r="AG34" s="70"/>
      <c r="AK34" s="53"/>
      <c r="AL34" s="54"/>
      <c r="AM34" s="54"/>
      <c r="AN34" s="54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5"/>
    </row>
    <row r="35" spans="1:52" x14ac:dyDescent="0.25">
      <c r="E35" s="6"/>
      <c r="F35" s="5"/>
      <c r="H35" s="59">
        <v>10</v>
      </c>
      <c r="I35" s="60">
        <f>100-1.41</f>
        <v>98.59</v>
      </c>
      <c r="J35" s="61"/>
      <c r="K35" s="61"/>
      <c r="L35" s="61"/>
      <c r="M35" s="62"/>
      <c r="N35" s="60">
        <f>100-1.38</f>
        <v>98.62</v>
      </c>
      <c r="O35" s="61"/>
      <c r="P35" s="61"/>
      <c r="Q35" s="61"/>
      <c r="R35" s="62"/>
      <c r="S35" s="60">
        <f>100-1.36</f>
        <v>98.64</v>
      </c>
      <c r="T35" s="61"/>
      <c r="U35" s="61"/>
      <c r="V35" s="61"/>
      <c r="W35" s="62"/>
      <c r="X35" s="60">
        <f>100-1.35</f>
        <v>98.65</v>
      </c>
      <c r="Y35" s="61"/>
      <c r="Z35" s="61"/>
      <c r="AA35" s="61"/>
      <c r="AB35" s="62"/>
      <c r="AC35" s="60">
        <f>100-1.32</f>
        <v>98.68</v>
      </c>
      <c r="AD35" s="61"/>
      <c r="AE35" s="61"/>
      <c r="AF35" s="61"/>
      <c r="AG35" s="62"/>
      <c r="AK35" s="50" t="s">
        <v>7</v>
      </c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2"/>
    </row>
    <row r="36" spans="1:52" x14ac:dyDescent="0.25">
      <c r="E36" s="6"/>
      <c r="F36" s="5"/>
      <c r="H36" s="59"/>
      <c r="I36" s="63"/>
      <c r="J36" s="49"/>
      <c r="K36" s="49"/>
      <c r="L36" s="49"/>
      <c r="M36" s="64"/>
      <c r="N36" s="63"/>
      <c r="O36" s="49"/>
      <c r="P36" s="49"/>
      <c r="Q36" s="49"/>
      <c r="R36" s="64"/>
      <c r="S36" s="63"/>
      <c r="T36" s="49"/>
      <c r="U36" s="49"/>
      <c r="V36" s="49"/>
      <c r="W36" s="64"/>
      <c r="X36" s="63"/>
      <c r="Y36" s="49"/>
      <c r="Z36" s="49"/>
      <c r="AA36" s="49"/>
      <c r="AB36" s="64"/>
      <c r="AC36" s="63"/>
      <c r="AD36" s="49"/>
      <c r="AE36" s="49"/>
      <c r="AF36" s="49"/>
      <c r="AG36" s="64"/>
      <c r="AK36" s="53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5"/>
    </row>
    <row r="37" spans="1:52" x14ac:dyDescent="0.25">
      <c r="E37" s="6"/>
      <c r="F37" s="5"/>
      <c r="H37" s="59"/>
      <c r="I37" s="63"/>
      <c r="J37" s="49"/>
      <c r="K37" s="49"/>
      <c r="L37" s="49"/>
      <c r="M37" s="64"/>
      <c r="N37" s="63"/>
      <c r="O37" s="49"/>
      <c r="P37" s="49"/>
      <c r="Q37" s="49"/>
      <c r="R37" s="64"/>
      <c r="S37" s="63"/>
      <c r="T37" s="49"/>
      <c r="U37" s="49"/>
      <c r="V37" s="49"/>
      <c r="W37" s="64"/>
      <c r="X37" s="63"/>
      <c r="Y37" s="49"/>
      <c r="Z37" s="49"/>
      <c r="AA37" s="49"/>
      <c r="AB37" s="64"/>
      <c r="AC37" s="63"/>
      <c r="AD37" s="49"/>
      <c r="AE37" s="49"/>
      <c r="AF37" s="49"/>
      <c r="AG37" s="64"/>
      <c r="AK37" s="50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2"/>
    </row>
    <row r="38" spans="1:52" x14ac:dyDescent="0.25">
      <c r="E38" s="6"/>
      <c r="F38" s="5"/>
      <c r="H38" s="59"/>
      <c r="I38" s="65">
        <v>15</v>
      </c>
      <c r="J38" s="66"/>
      <c r="K38" s="66"/>
      <c r="L38" s="66"/>
      <c r="M38" s="67"/>
      <c r="N38" s="65">
        <v>14</v>
      </c>
      <c r="O38" s="66"/>
      <c r="P38" s="66"/>
      <c r="Q38" s="66"/>
      <c r="R38" s="67"/>
      <c r="S38" s="65">
        <v>13</v>
      </c>
      <c r="T38" s="66"/>
      <c r="U38" s="66"/>
      <c r="V38" s="66"/>
      <c r="W38" s="67"/>
      <c r="X38" s="65">
        <v>12</v>
      </c>
      <c r="Y38" s="66"/>
      <c r="Z38" s="66"/>
      <c r="AA38" s="66"/>
      <c r="AB38" s="67"/>
      <c r="AC38" s="65">
        <v>11</v>
      </c>
      <c r="AD38" s="66"/>
      <c r="AE38" s="66"/>
      <c r="AF38" s="66"/>
      <c r="AG38" s="67"/>
      <c r="AK38" s="53"/>
      <c r="AL38" s="54"/>
      <c r="AM38" s="54"/>
      <c r="AN38" s="54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5"/>
    </row>
    <row r="39" spans="1:52" x14ac:dyDescent="0.25">
      <c r="E39" s="9"/>
      <c r="F39" s="7"/>
      <c r="H39" s="59"/>
      <c r="I39" s="68"/>
      <c r="J39" s="69"/>
      <c r="K39" s="69"/>
      <c r="L39" s="69"/>
      <c r="M39" s="70"/>
      <c r="N39" s="68"/>
      <c r="O39" s="69"/>
      <c r="P39" s="69"/>
      <c r="Q39" s="69"/>
      <c r="R39" s="70"/>
      <c r="S39" s="68"/>
      <c r="T39" s="69"/>
      <c r="U39" s="69"/>
      <c r="V39" s="69"/>
      <c r="W39" s="70"/>
      <c r="X39" s="68"/>
      <c r="Y39" s="69"/>
      <c r="Z39" s="69"/>
      <c r="AA39" s="69"/>
      <c r="AB39" s="70"/>
      <c r="AC39" s="68"/>
      <c r="AD39" s="69"/>
      <c r="AE39" s="69"/>
      <c r="AF39" s="69"/>
      <c r="AG39" s="70"/>
    </row>
    <row r="42" spans="1:52" x14ac:dyDescent="0.25">
      <c r="G42" s="7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49">
        <f>T1</f>
        <v>50</v>
      </c>
      <c r="Y42" s="49"/>
      <c r="Z42" s="49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9"/>
    </row>
    <row r="43" spans="1:52" x14ac:dyDescent="0.25">
      <c r="A43" s="12"/>
      <c r="B43" s="12"/>
      <c r="C43" s="12"/>
      <c r="D43" s="12"/>
      <c r="E43" s="12"/>
      <c r="F43" s="12"/>
      <c r="G43" s="18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49"/>
      <c r="Y43" s="49"/>
      <c r="Z43" s="4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31"/>
      <c r="AR43" s="12"/>
      <c r="AS43" s="12"/>
      <c r="AT43" s="12"/>
      <c r="AU43" s="12"/>
      <c r="AV43" s="12"/>
      <c r="AW43" s="12"/>
      <c r="AX43" s="12"/>
      <c r="AY43" s="12"/>
      <c r="AZ43" s="12"/>
    </row>
    <row r="44" spans="1:52" x14ac:dyDescent="0.25">
      <c r="A44" s="112" t="s">
        <v>9</v>
      </c>
      <c r="B44" s="112"/>
      <c r="C44" s="112"/>
      <c r="D44" s="24"/>
      <c r="E44" s="28"/>
      <c r="F44" s="25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4"/>
      <c r="AS44" s="28"/>
      <c r="AT44" s="25"/>
      <c r="AU44" s="12"/>
      <c r="AV44" s="12"/>
      <c r="AW44" s="26"/>
      <c r="AX44" s="26"/>
      <c r="AY44" s="26"/>
      <c r="AZ44" s="12"/>
    </row>
    <row r="45" spans="1:52" x14ac:dyDescent="0.25">
      <c r="A45" s="113" t="s">
        <v>10</v>
      </c>
      <c r="B45" s="113"/>
      <c r="C45" s="113"/>
      <c r="D45" s="27"/>
      <c r="E45" s="27"/>
      <c r="F45" s="29"/>
      <c r="G45" s="11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3"/>
      <c r="AR45" s="12"/>
      <c r="AS45" s="12"/>
      <c r="AT45" s="12"/>
      <c r="AU45" s="31"/>
      <c r="AV45" s="18"/>
      <c r="AW45" s="12"/>
      <c r="AX45" s="12"/>
      <c r="AY45" s="12"/>
      <c r="AZ45" s="12"/>
    </row>
    <row r="46" spans="1:52" x14ac:dyDescent="0.25">
      <c r="A46" s="114"/>
      <c r="B46" s="114"/>
      <c r="C46" s="114"/>
      <c r="D46" s="23"/>
      <c r="E46" s="23"/>
      <c r="F46" s="30"/>
      <c r="G46" s="14"/>
      <c r="H46" s="15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5"/>
      <c r="AQ46" s="16"/>
      <c r="AR46" s="12"/>
      <c r="AS46" s="12"/>
      <c r="AT46" s="12"/>
      <c r="AU46" s="13"/>
      <c r="AV46" s="11"/>
      <c r="AW46" s="12"/>
      <c r="AX46" s="12"/>
      <c r="AY46" s="12"/>
      <c r="AZ46" s="12"/>
    </row>
    <row r="47" spans="1:52" x14ac:dyDescent="0.25">
      <c r="A47" s="66" t="s">
        <v>11</v>
      </c>
      <c r="B47" s="66"/>
      <c r="C47" s="66"/>
      <c r="D47" s="12"/>
      <c r="E47" s="12"/>
      <c r="F47" s="12"/>
      <c r="G47" s="12"/>
      <c r="H47" s="13"/>
      <c r="I47" s="11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3"/>
      <c r="AP47" s="12"/>
      <c r="AQ47" s="12"/>
      <c r="AR47" s="12"/>
      <c r="AS47" s="12"/>
      <c r="AT47" s="49">
        <v>2.5</v>
      </c>
      <c r="AU47" s="49"/>
      <c r="AV47" s="49"/>
      <c r="AW47" s="49"/>
      <c r="AX47" s="12"/>
      <c r="AY47" s="12"/>
      <c r="AZ47" s="12"/>
    </row>
    <row r="48" spans="1:52" x14ac:dyDescent="0.25">
      <c r="A48" s="114"/>
      <c r="B48" s="114"/>
      <c r="C48" s="114"/>
      <c r="D48" s="23"/>
      <c r="E48" s="23"/>
      <c r="F48" s="23"/>
      <c r="G48" s="23"/>
      <c r="H48" s="30"/>
      <c r="I48" s="14"/>
      <c r="J48" s="15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5"/>
      <c r="AO48" s="16"/>
      <c r="AP48" s="12"/>
      <c r="AQ48" s="12"/>
      <c r="AR48" s="12"/>
      <c r="AS48" s="12"/>
      <c r="AT48" s="49"/>
      <c r="AU48" s="49"/>
      <c r="AV48" s="49"/>
      <c r="AW48" s="49"/>
      <c r="AX48" s="12"/>
      <c r="AY48" s="12"/>
      <c r="AZ48" s="12"/>
    </row>
    <row r="49" spans="1:52" x14ac:dyDescent="0.25">
      <c r="A49" s="114" t="s">
        <v>14</v>
      </c>
      <c r="B49" s="114"/>
      <c r="C49" s="114"/>
      <c r="D49" s="23"/>
      <c r="E49" s="23"/>
      <c r="F49" s="23"/>
      <c r="G49" s="23"/>
      <c r="H49" s="23"/>
      <c r="I49" s="23"/>
      <c r="J49" s="30"/>
      <c r="K49" s="14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6"/>
      <c r="AN49" s="12"/>
      <c r="AO49" s="12"/>
      <c r="AP49" s="12"/>
      <c r="AQ49" s="12"/>
      <c r="AR49" s="12"/>
      <c r="AS49" s="12"/>
      <c r="AT49" s="12"/>
      <c r="AU49" s="16"/>
      <c r="AV49" s="14"/>
      <c r="AW49" s="12"/>
      <c r="AX49" s="12"/>
      <c r="AY49" s="12"/>
      <c r="AZ49" s="12"/>
    </row>
    <row r="50" spans="1:52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</row>
    <row r="51" spans="1:52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4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49">
        <f>X42-4</f>
        <v>46</v>
      </c>
      <c r="Y51" s="49"/>
      <c r="Z51" s="49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6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</row>
    <row r="52" spans="1:52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8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49"/>
      <c r="Y52" s="49"/>
      <c r="Z52" s="4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31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</row>
    <row r="53" spans="1:52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</row>
    <row r="54" spans="1:52" x14ac:dyDescent="0.25">
      <c r="A54" s="48" t="s">
        <v>13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</row>
    <row r="55" spans="1:52" x14ac:dyDescent="0.25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</row>
    <row r="56" spans="1:52" x14ac:dyDescent="0.25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</row>
    <row r="57" spans="1:52" x14ac:dyDescent="0.25"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</row>
    <row r="58" spans="1:52" x14ac:dyDescent="0.25"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</row>
  </sheetData>
  <mergeCells count="129">
    <mergeCell ref="AK10:AO11"/>
    <mergeCell ref="AP10:AT11"/>
    <mergeCell ref="AU10:AY11"/>
    <mergeCell ref="AK12:AO13"/>
    <mergeCell ref="AP12:AT13"/>
    <mergeCell ref="AU12:AY13"/>
    <mergeCell ref="AC38:AG39"/>
    <mergeCell ref="I23:M24"/>
    <mergeCell ref="N23:R24"/>
    <mergeCell ref="S23:W24"/>
    <mergeCell ref="X23:AB24"/>
    <mergeCell ref="AC23:AG24"/>
    <mergeCell ref="AP18:AT19"/>
    <mergeCell ref="AU18:AY19"/>
    <mergeCell ref="I20:M22"/>
    <mergeCell ref="N20:R22"/>
    <mergeCell ref="S20:W22"/>
    <mergeCell ref="X20:AB22"/>
    <mergeCell ref="AC20:AG22"/>
    <mergeCell ref="AK20:AO21"/>
    <mergeCell ref="AP20:AT21"/>
    <mergeCell ref="AU20:AY21"/>
    <mergeCell ref="AK22:AO23"/>
    <mergeCell ref="AP22:AT23"/>
    <mergeCell ref="T1:V2"/>
    <mergeCell ref="X42:Z43"/>
    <mergeCell ref="AK14:AO15"/>
    <mergeCell ref="AP14:AT15"/>
    <mergeCell ref="AU14:AY15"/>
    <mergeCell ref="AK16:AO17"/>
    <mergeCell ref="AP16:AT17"/>
    <mergeCell ref="AU16:AY17"/>
    <mergeCell ref="AK18:AO19"/>
    <mergeCell ref="X35:AB37"/>
    <mergeCell ref="S38:W39"/>
    <mergeCell ref="X38:AB39"/>
    <mergeCell ref="AK25:AY29"/>
    <mergeCell ref="X25:AB27"/>
    <mergeCell ref="S28:W29"/>
    <mergeCell ref="X28:AB29"/>
    <mergeCell ref="S30:W32"/>
    <mergeCell ref="X30:AB32"/>
    <mergeCell ref="S33:W34"/>
    <mergeCell ref="X33:AB34"/>
    <mergeCell ref="S8:W9"/>
    <mergeCell ref="X8:AB9"/>
    <mergeCell ref="S10:W12"/>
    <mergeCell ref="X10:AB12"/>
    <mergeCell ref="A54:AY56"/>
    <mergeCell ref="H25:H29"/>
    <mergeCell ref="I25:M27"/>
    <mergeCell ref="N25:R27"/>
    <mergeCell ref="AC25:AG27"/>
    <mergeCell ref="I28:M29"/>
    <mergeCell ref="N28:R29"/>
    <mergeCell ref="AC28:AG29"/>
    <mergeCell ref="S25:W27"/>
    <mergeCell ref="A44:C44"/>
    <mergeCell ref="A45:C46"/>
    <mergeCell ref="A47:C48"/>
    <mergeCell ref="AT47:AW48"/>
    <mergeCell ref="A49:C49"/>
    <mergeCell ref="H35:H39"/>
    <mergeCell ref="I35:M37"/>
    <mergeCell ref="N35:R37"/>
    <mergeCell ref="AC35:AG37"/>
    <mergeCell ref="AK35:AY36"/>
    <mergeCell ref="AK37:AY38"/>
    <mergeCell ref="I38:M39"/>
    <mergeCell ref="N38:R39"/>
    <mergeCell ref="X51:Z52"/>
    <mergeCell ref="S35:W37"/>
    <mergeCell ref="AK30:AY30"/>
    <mergeCell ref="AK31:AY32"/>
    <mergeCell ref="I33:M34"/>
    <mergeCell ref="N33:R34"/>
    <mergeCell ref="AC33:AG34"/>
    <mergeCell ref="AK33:AY34"/>
    <mergeCell ref="D17:G18"/>
    <mergeCell ref="I18:M19"/>
    <mergeCell ref="N18:R19"/>
    <mergeCell ref="AC18:AG19"/>
    <mergeCell ref="H30:H34"/>
    <mergeCell ref="I30:M32"/>
    <mergeCell ref="N30:R32"/>
    <mergeCell ref="AC30:AG32"/>
    <mergeCell ref="S15:W17"/>
    <mergeCell ref="X15:AB17"/>
    <mergeCell ref="H20:H24"/>
    <mergeCell ref="AU22:AY23"/>
    <mergeCell ref="AK24:AY24"/>
    <mergeCell ref="N13:R14"/>
    <mergeCell ref="AC13:AG14"/>
    <mergeCell ref="H15:H19"/>
    <mergeCell ref="I15:M17"/>
    <mergeCell ref="N15:R17"/>
    <mergeCell ref="AC15:AG17"/>
    <mergeCell ref="S18:W19"/>
    <mergeCell ref="X18:AB19"/>
    <mergeCell ref="AC8:AG9"/>
    <mergeCell ref="H10:H14"/>
    <mergeCell ref="I10:M12"/>
    <mergeCell ref="N10:R12"/>
    <mergeCell ref="AC10:AG12"/>
    <mergeCell ref="I13:M14"/>
    <mergeCell ref="S13:W14"/>
    <mergeCell ref="X13:AB14"/>
    <mergeCell ref="AU4:AY5"/>
    <mergeCell ref="H5:H9"/>
    <mergeCell ref="I5:M7"/>
    <mergeCell ref="N5:R7"/>
    <mergeCell ref="AC5:AG7"/>
    <mergeCell ref="AK6:AO7"/>
    <mergeCell ref="AP6:AT7"/>
    <mergeCell ref="AU6:AY7"/>
    <mergeCell ref="I8:M9"/>
    <mergeCell ref="N8:R9"/>
    <mergeCell ref="I4:M4"/>
    <mergeCell ref="N4:R4"/>
    <mergeCell ref="AC4:AG4"/>
    <mergeCell ref="AK4:AO5"/>
    <mergeCell ref="AP4:AT5"/>
    <mergeCell ref="S4:W4"/>
    <mergeCell ref="X4:AB4"/>
    <mergeCell ref="S5:W7"/>
    <mergeCell ref="X5:AB7"/>
    <mergeCell ref="AK8:AO9"/>
    <mergeCell ref="AP8:AT9"/>
    <mergeCell ref="AU8:AY9"/>
  </mergeCells>
  <phoneticPr fontId="1" type="noConversion"/>
  <pageMargins left="0.25" right="0.25" top="0.75" bottom="0.75" header="0.3" footer="0.3"/>
  <pageSetup paperSize="9" scale="71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98F12-1118-4BA5-AEC7-A69248248629}">
  <sheetPr>
    <pageSetUpPr fitToPage="1"/>
  </sheetPr>
  <dimension ref="A1:CD46"/>
  <sheetViews>
    <sheetView workbookViewId="0">
      <selection activeCell="A7" sqref="A7:XFD7"/>
    </sheetView>
  </sheetViews>
  <sheetFormatPr defaultColWidth="2.7109375" defaultRowHeight="15" x14ac:dyDescent="0.25"/>
  <cols>
    <col min="1" max="7" width="2.7109375" style="1"/>
    <col min="8" max="8" width="2.7109375" style="1" customWidth="1"/>
    <col min="9" max="16384" width="2.7109375" style="1"/>
  </cols>
  <sheetData>
    <row r="1" spans="4:82" x14ac:dyDescent="0.25">
      <c r="I1" s="7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49">
        <f>SUM(I4:BK4)</f>
        <v>110</v>
      </c>
      <c r="AG1" s="49"/>
      <c r="AH1" s="49"/>
      <c r="AI1" s="49"/>
      <c r="AJ1" s="12"/>
      <c r="AK1" s="12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9"/>
      <c r="BO1" s="83" t="s">
        <v>0</v>
      </c>
      <c r="BP1" s="83"/>
      <c r="BQ1" s="83"/>
      <c r="BR1" s="83"/>
      <c r="BS1" s="83"/>
      <c r="BT1" s="83" t="s">
        <v>1</v>
      </c>
      <c r="BU1" s="83"/>
      <c r="BV1" s="83"/>
      <c r="BW1" s="83"/>
      <c r="BX1" s="83"/>
      <c r="BY1" s="83" t="s">
        <v>2</v>
      </c>
      <c r="BZ1" s="83"/>
      <c r="CA1" s="83"/>
      <c r="CB1" s="83"/>
      <c r="CC1" s="83"/>
    </row>
    <row r="2" spans="4:82" x14ac:dyDescent="0.25"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49"/>
      <c r="AG2" s="49"/>
      <c r="AH2" s="49"/>
      <c r="AI2" s="49"/>
      <c r="AJ2" s="12"/>
      <c r="AK2" s="12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4"/>
      <c r="BM2" s="12"/>
      <c r="BN2" s="12"/>
      <c r="BO2" s="83"/>
      <c r="BP2" s="83"/>
      <c r="BQ2" s="83"/>
      <c r="BR2" s="83"/>
      <c r="BS2" s="83"/>
      <c r="BT2" s="83"/>
      <c r="BU2" s="83"/>
      <c r="BV2" s="83"/>
      <c r="BW2" s="83"/>
      <c r="BX2" s="83"/>
      <c r="BY2" s="83"/>
      <c r="BZ2" s="83"/>
      <c r="CA2" s="83"/>
      <c r="CB2" s="83"/>
      <c r="CC2" s="83"/>
      <c r="CD2" s="12"/>
    </row>
    <row r="3" spans="4:82" x14ac:dyDescent="0.25">
      <c r="BM3" s="12"/>
      <c r="BN3" s="12"/>
      <c r="BO3" s="80" t="s">
        <v>19</v>
      </c>
      <c r="BP3" s="80"/>
      <c r="BQ3" s="80"/>
      <c r="BR3" s="80"/>
      <c r="BS3" s="80"/>
      <c r="BT3" s="81">
        <f>SUM(I5+N5+S5+X5+AC5+AH5+AM5+AR5+AW5+BB5+BG5)/11</f>
        <v>98.491818181818189</v>
      </c>
      <c r="BU3" s="81"/>
      <c r="BV3" s="81"/>
      <c r="BW3" s="81"/>
      <c r="BX3" s="81"/>
      <c r="BY3" s="81">
        <f>100-BT3</f>
        <v>1.5081818181818107</v>
      </c>
      <c r="BZ3" s="81"/>
      <c r="CA3" s="81"/>
      <c r="CB3" s="81"/>
      <c r="CC3" s="81"/>
      <c r="CD3" s="12"/>
    </row>
    <row r="4" spans="4:82" x14ac:dyDescent="0.25">
      <c r="I4" s="82">
        <v>10</v>
      </c>
      <c r="J4" s="82"/>
      <c r="K4" s="82"/>
      <c r="L4" s="82"/>
      <c r="M4" s="82"/>
      <c r="N4" s="82">
        <v>10</v>
      </c>
      <c r="O4" s="82"/>
      <c r="P4" s="82"/>
      <c r="Q4" s="82"/>
      <c r="R4" s="82"/>
      <c r="S4" s="82">
        <v>10</v>
      </c>
      <c r="T4" s="82"/>
      <c r="U4" s="82"/>
      <c r="V4" s="82"/>
      <c r="W4" s="82"/>
      <c r="X4" s="82">
        <v>10</v>
      </c>
      <c r="Y4" s="82"/>
      <c r="Z4" s="82"/>
      <c r="AA4" s="82"/>
      <c r="AB4" s="82"/>
      <c r="AC4" s="82">
        <v>10</v>
      </c>
      <c r="AD4" s="82"/>
      <c r="AE4" s="82"/>
      <c r="AF4" s="82"/>
      <c r="AG4" s="82"/>
      <c r="AH4" s="82">
        <v>10</v>
      </c>
      <c r="AI4" s="82"/>
      <c r="AJ4" s="82"/>
      <c r="AK4" s="82"/>
      <c r="AL4" s="82"/>
      <c r="AM4" s="82">
        <v>10</v>
      </c>
      <c r="AN4" s="82"/>
      <c r="AO4" s="82"/>
      <c r="AP4" s="82"/>
      <c r="AQ4" s="82"/>
      <c r="AR4" s="82">
        <v>10</v>
      </c>
      <c r="AS4" s="82"/>
      <c r="AT4" s="82"/>
      <c r="AU4" s="82"/>
      <c r="AV4" s="82"/>
      <c r="AW4" s="82">
        <v>10</v>
      </c>
      <c r="AX4" s="82"/>
      <c r="AY4" s="82"/>
      <c r="AZ4" s="82"/>
      <c r="BA4" s="82"/>
      <c r="BB4" s="82">
        <v>10</v>
      </c>
      <c r="BC4" s="82"/>
      <c r="BD4" s="82"/>
      <c r="BE4" s="82"/>
      <c r="BF4" s="82"/>
      <c r="BG4" s="82">
        <v>10</v>
      </c>
      <c r="BH4" s="82"/>
      <c r="BI4" s="82"/>
      <c r="BJ4" s="82"/>
      <c r="BK4" s="82"/>
      <c r="BM4" s="12"/>
      <c r="BN4" s="12"/>
      <c r="BO4" s="80"/>
      <c r="BP4" s="80"/>
      <c r="BQ4" s="80"/>
      <c r="BR4" s="80"/>
      <c r="BS4" s="80"/>
      <c r="BT4" s="81"/>
      <c r="BU4" s="81"/>
      <c r="BV4" s="81"/>
      <c r="BW4" s="81"/>
      <c r="BX4" s="81"/>
      <c r="BY4" s="81"/>
      <c r="BZ4" s="81"/>
      <c r="CA4" s="81"/>
      <c r="CB4" s="81"/>
      <c r="CC4" s="81"/>
      <c r="CD4" s="12"/>
    </row>
    <row r="5" spans="4:82" x14ac:dyDescent="0.25">
      <c r="E5" s="4"/>
      <c r="F5" s="2"/>
      <c r="H5" s="59">
        <v>5</v>
      </c>
      <c r="I5" s="60">
        <f>100-1.5</f>
        <v>98.5</v>
      </c>
      <c r="J5" s="61"/>
      <c r="K5" s="61"/>
      <c r="L5" s="61"/>
      <c r="M5" s="62"/>
      <c r="N5" s="60">
        <f>100-1.5</f>
        <v>98.5</v>
      </c>
      <c r="O5" s="61"/>
      <c r="P5" s="61"/>
      <c r="Q5" s="61"/>
      <c r="R5" s="62"/>
      <c r="S5" s="60">
        <f>100-1.48</f>
        <v>98.52</v>
      </c>
      <c r="T5" s="61"/>
      <c r="U5" s="61"/>
      <c r="V5" s="61"/>
      <c r="W5" s="62"/>
      <c r="X5" s="60">
        <f>100-1.46</f>
        <v>98.54</v>
      </c>
      <c r="Y5" s="61"/>
      <c r="Z5" s="61"/>
      <c r="AA5" s="61"/>
      <c r="AB5" s="62"/>
      <c r="AC5" s="60">
        <f>100-1.46</f>
        <v>98.54</v>
      </c>
      <c r="AD5" s="61"/>
      <c r="AE5" s="61"/>
      <c r="AF5" s="61"/>
      <c r="AG5" s="62"/>
      <c r="AH5" s="60">
        <f>100-1.55</f>
        <v>98.45</v>
      </c>
      <c r="AI5" s="61"/>
      <c r="AJ5" s="61"/>
      <c r="AK5" s="61"/>
      <c r="AL5" s="62"/>
      <c r="AM5" s="60">
        <f>100-1.53</f>
        <v>98.47</v>
      </c>
      <c r="AN5" s="61"/>
      <c r="AO5" s="61"/>
      <c r="AP5" s="61"/>
      <c r="AQ5" s="62"/>
      <c r="AR5" s="60">
        <f>100-1.52</f>
        <v>98.48</v>
      </c>
      <c r="AS5" s="61"/>
      <c r="AT5" s="61"/>
      <c r="AU5" s="61"/>
      <c r="AV5" s="62"/>
      <c r="AW5" s="60">
        <f>100-1.56</f>
        <v>98.44</v>
      </c>
      <c r="AX5" s="61"/>
      <c r="AY5" s="61"/>
      <c r="AZ5" s="61"/>
      <c r="BA5" s="62"/>
      <c r="BB5" s="60">
        <f>100-1.49</f>
        <v>98.51</v>
      </c>
      <c r="BC5" s="61"/>
      <c r="BD5" s="61"/>
      <c r="BE5" s="61"/>
      <c r="BF5" s="62"/>
      <c r="BG5" s="60">
        <f>100-1.54</f>
        <v>98.46</v>
      </c>
      <c r="BH5" s="61"/>
      <c r="BI5" s="61"/>
      <c r="BJ5" s="61"/>
      <c r="BK5" s="62"/>
      <c r="BM5" s="12"/>
      <c r="BN5" s="12"/>
      <c r="BO5" s="80" t="s">
        <v>20</v>
      </c>
      <c r="BP5" s="80"/>
      <c r="BQ5" s="80"/>
      <c r="BR5" s="80"/>
      <c r="BS5" s="80"/>
      <c r="BT5" s="81">
        <f>SUM(BG8+BG13+BG18+BB18+AW18+AR18+AM18+AH18+AC18+X18+S18+N18+I18+I13+I8)/15</f>
        <v>98.495333333333321</v>
      </c>
      <c r="BU5" s="81"/>
      <c r="BV5" s="81"/>
      <c r="BW5" s="81"/>
      <c r="BX5" s="81"/>
      <c r="BY5" s="81">
        <f t="shared" ref="BY5" si="0">100-BT5</f>
        <v>1.5046666666666795</v>
      </c>
      <c r="BZ5" s="81"/>
      <c r="CA5" s="81"/>
      <c r="CB5" s="81"/>
      <c r="CC5" s="81"/>
      <c r="CD5" s="12"/>
    </row>
    <row r="6" spans="4:82" ht="15" customHeight="1" x14ac:dyDescent="0.25">
      <c r="E6" s="6"/>
      <c r="F6" s="5"/>
      <c r="H6" s="59"/>
      <c r="I6" s="63"/>
      <c r="J6" s="49"/>
      <c r="K6" s="49"/>
      <c r="L6" s="49"/>
      <c r="M6" s="64"/>
      <c r="N6" s="63"/>
      <c r="O6" s="49"/>
      <c r="P6" s="49"/>
      <c r="Q6" s="49"/>
      <c r="R6" s="64"/>
      <c r="S6" s="63"/>
      <c r="T6" s="49"/>
      <c r="U6" s="49"/>
      <c r="V6" s="49"/>
      <c r="W6" s="64"/>
      <c r="X6" s="63"/>
      <c r="Y6" s="49"/>
      <c r="Z6" s="49"/>
      <c r="AA6" s="49"/>
      <c r="AB6" s="64"/>
      <c r="AC6" s="63"/>
      <c r="AD6" s="49"/>
      <c r="AE6" s="49"/>
      <c r="AF6" s="49"/>
      <c r="AG6" s="64"/>
      <c r="AH6" s="63"/>
      <c r="AI6" s="49"/>
      <c r="AJ6" s="49"/>
      <c r="AK6" s="49"/>
      <c r="AL6" s="64"/>
      <c r="AM6" s="63"/>
      <c r="AN6" s="49"/>
      <c r="AO6" s="49"/>
      <c r="AP6" s="49"/>
      <c r="AQ6" s="64"/>
      <c r="AR6" s="63"/>
      <c r="AS6" s="49"/>
      <c r="AT6" s="49"/>
      <c r="AU6" s="49"/>
      <c r="AV6" s="64"/>
      <c r="AW6" s="63"/>
      <c r="AX6" s="49"/>
      <c r="AY6" s="49"/>
      <c r="AZ6" s="49"/>
      <c r="BA6" s="64"/>
      <c r="BB6" s="63"/>
      <c r="BC6" s="49"/>
      <c r="BD6" s="49"/>
      <c r="BE6" s="49"/>
      <c r="BF6" s="64"/>
      <c r="BG6" s="63"/>
      <c r="BH6" s="49"/>
      <c r="BI6" s="49"/>
      <c r="BJ6" s="49"/>
      <c r="BK6" s="64"/>
      <c r="BM6" s="12"/>
      <c r="BN6" s="12"/>
      <c r="BO6" s="80"/>
      <c r="BP6" s="80"/>
      <c r="BQ6" s="80"/>
      <c r="BR6" s="80"/>
      <c r="BS6" s="80"/>
      <c r="BT6" s="81"/>
      <c r="BU6" s="81"/>
      <c r="BV6" s="81"/>
      <c r="BW6" s="81"/>
      <c r="BX6" s="81"/>
      <c r="BY6" s="81"/>
      <c r="BZ6" s="81"/>
      <c r="CA6" s="81"/>
      <c r="CB6" s="81"/>
      <c r="CC6" s="81"/>
      <c r="CD6" s="12"/>
    </row>
    <row r="7" spans="4:82" x14ac:dyDescent="0.25">
      <c r="E7" s="6"/>
      <c r="F7" s="5"/>
      <c r="H7" s="59"/>
      <c r="I7" s="68">
        <v>1</v>
      </c>
      <c r="J7" s="69"/>
      <c r="K7" s="69"/>
      <c r="L7" s="69"/>
      <c r="M7" s="70"/>
      <c r="N7" s="68">
        <v>2</v>
      </c>
      <c r="O7" s="69"/>
      <c r="P7" s="69"/>
      <c r="Q7" s="69"/>
      <c r="R7" s="70"/>
      <c r="S7" s="68">
        <v>3</v>
      </c>
      <c r="T7" s="69"/>
      <c r="U7" s="69"/>
      <c r="V7" s="69"/>
      <c r="W7" s="70"/>
      <c r="X7" s="68">
        <v>4</v>
      </c>
      <c r="Y7" s="69"/>
      <c r="Z7" s="69"/>
      <c r="AA7" s="69"/>
      <c r="AB7" s="70"/>
      <c r="AC7" s="68">
        <v>5</v>
      </c>
      <c r="AD7" s="69"/>
      <c r="AE7" s="69"/>
      <c r="AF7" s="69"/>
      <c r="AG7" s="70"/>
      <c r="AH7" s="68">
        <v>6</v>
      </c>
      <c r="AI7" s="69"/>
      <c r="AJ7" s="69"/>
      <c r="AK7" s="69"/>
      <c r="AL7" s="70"/>
      <c r="AM7" s="68">
        <v>7</v>
      </c>
      <c r="AN7" s="69"/>
      <c r="AO7" s="69"/>
      <c r="AP7" s="69"/>
      <c r="AQ7" s="70"/>
      <c r="AR7" s="68">
        <v>8</v>
      </c>
      <c r="AS7" s="69"/>
      <c r="AT7" s="69"/>
      <c r="AU7" s="69"/>
      <c r="AV7" s="70"/>
      <c r="AW7" s="68">
        <v>9</v>
      </c>
      <c r="AX7" s="69"/>
      <c r="AY7" s="69"/>
      <c r="AZ7" s="69"/>
      <c r="BA7" s="70"/>
      <c r="BB7" s="68">
        <v>10</v>
      </c>
      <c r="BC7" s="69"/>
      <c r="BD7" s="69"/>
      <c r="BE7" s="69"/>
      <c r="BF7" s="70"/>
      <c r="BG7" s="68">
        <v>11</v>
      </c>
      <c r="BH7" s="69"/>
      <c r="BI7" s="69"/>
      <c r="BJ7" s="69"/>
      <c r="BK7" s="70"/>
      <c r="BM7" s="12"/>
      <c r="BN7" s="12"/>
      <c r="BO7" s="80" t="s">
        <v>21</v>
      </c>
      <c r="BP7" s="80"/>
      <c r="BQ7" s="80"/>
      <c r="BR7" s="80"/>
      <c r="BS7" s="80"/>
      <c r="BT7" s="81">
        <f>SUM(N8+S8+X8+AC8+AH8+AM8+AR8+AW8+BB8+BB13+AW13+AR13+AM13+AH13+AC13+X13+S13+N13)/18</f>
        <v>98.208333333333329</v>
      </c>
      <c r="BU7" s="81"/>
      <c r="BV7" s="81"/>
      <c r="BW7" s="81"/>
      <c r="BX7" s="81"/>
      <c r="BY7" s="81">
        <f t="shared" ref="BY7" si="1">100-BT7</f>
        <v>1.7916666666666714</v>
      </c>
      <c r="BZ7" s="81"/>
      <c r="CA7" s="81"/>
      <c r="CB7" s="81"/>
      <c r="CC7" s="81"/>
      <c r="CD7" s="12"/>
    </row>
    <row r="8" spans="4:82" x14ac:dyDescent="0.25">
      <c r="E8" s="6"/>
      <c r="F8" s="5"/>
      <c r="H8" s="59">
        <v>10</v>
      </c>
      <c r="I8" s="60">
        <f>100-1.55</f>
        <v>98.45</v>
      </c>
      <c r="J8" s="61"/>
      <c r="K8" s="61"/>
      <c r="L8" s="61"/>
      <c r="M8" s="62"/>
      <c r="N8" s="60">
        <f>SUM(I8+I5+N5)/3-0.3</f>
        <v>98.183333333333337</v>
      </c>
      <c r="O8" s="61"/>
      <c r="P8" s="61"/>
      <c r="Q8" s="61"/>
      <c r="R8" s="62"/>
      <c r="S8" s="60">
        <f>S5-0.3</f>
        <v>98.22</v>
      </c>
      <c r="T8" s="61"/>
      <c r="U8" s="61"/>
      <c r="V8" s="61"/>
      <c r="W8" s="62"/>
      <c r="X8" s="60">
        <f>X5-0.3</f>
        <v>98.240000000000009</v>
      </c>
      <c r="Y8" s="61"/>
      <c r="Z8" s="61"/>
      <c r="AA8" s="61"/>
      <c r="AB8" s="62"/>
      <c r="AC8" s="60">
        <f>AC5-0.3</f>
        <v>98.240000000000009</v>
      </c>
      <c r="AD8" s="61"/>
      <c r="AE8" s="61"/>
      <c r="AF8" s="61"/>
      <c r="AG8" s="62"/>
      <c r="AH8" s="60">
        <f>AH5-0.3</f>
        <v>98.15</v>
      </c>
      <c r="AI8" s="61"/>
      <c r="AJ8" s="61"/>
      <c r="AK8" s="61"/>
      <c r="AL8" s="62"/>
      <c r="AM8" s="60">
        <f>AM5-0.3</f>
        <v>98.17</v>
      </c>
      <c r="AN8" s="61"/>
      <c r="AO8" s="61"/>
      <c r="AP8" s="61"/>
      <c r="AQ8" s="62"/>
      <c r="AR8" s="60">
        <f t="shared" ref="AR8" si="2">AR5-0.3</f>
        <v>98.18</v>
      </c>
      <c r="AS8" s="61"/>
      <c r="AT8" s="61"/>
      <c r="AU8" s="61"/>
      <c r="AV8" s="62"/>
      <c r="AW8" s="60">
        <f>AW5-0.3</f>
        <v>98.14</v>
      </c>
      <c r="AX8" s="61"/>
      <c r="AY8" s="61"/>
      <c r="AZ8" s="61"/>
      <c r="BA8" s="62"/>
      <c r="BB8" s="60">
        <f>SUM(AW8+AW5+BB5)/3-0.3</f>
        <v>98.063333333333333</v>
      </c>
      <c r="BC8" s="61"/>
      <c r="BD8" s="61"/>
      <c r="BE8" s="61"/>
      <c r="BF8" s="62"/>
      <c r="BG8" s="60">
        <f>100-1.54</f>
        <v>98.46</v>
      </c>
      <c r="BH8" s="61"/>
      <c r="BI8" s="61"/>
      <c r="BJ8" s="61"/>
      <c r="BK8" s="62"/>
      <c r="BM8" s="12"/>
      <c r="BN8" s="12"/>
      <c r="BO8" s="80"/>
      <c r="BP8" s="80"/>
      <c r="BQ8" s="80"/>
      <c r="BR8" s="80"/>
      <c r="BS8" s="80"/>
      <c r="BT8" s="81"/>
      <c r="BU8" s="81"/>
      <c r="BV8" s="81"/>
      <c r="BW8" s="81"/>
      <c r="BX8" s="81"/>
      <c r="BY8" s="81"/>
      <c r="BZ8" s="81"/>
      <c r="CA8" s="81"/>
      <c r="CB8" s="81"/>
      <c r="CC8" s="81"/>
      <c r="CD8" s="12"/>
    </row>
    <row r="9" spans="4:82" x14ac:dyDescent="0.25">
      <c r="E9" s="6"/>
      <c r="F9" s="5"/>
      <c r="H9" s="59"/>
      <c r="I9" s="63"/>
      <c r="J9" s="49"/>
      <c r="K9" s="49"/>
      <c r="L9" s="49"/>
      <c r="M9" s="64"/>
      <c r="N9" s="63"/>
      <c r="O9" s="49"/>
      <c r="P9" s="49"/>
      <c r="Q9" s="49"/>
      <c r="R9" s="64"/>
      <c r="S9" s="63"/>
      <c r="T9" s="49"/>
      <c r="U9" s="49"/>
      <c r="V9" s="49"/>
      <c r="W9" s="64"/>
      <c r="X9" s="63"/>
      <c r="Y9" s="49"/>
      <c r="Z9" s="49"/>
      <c r="AA9" s="49"/>
      <c r="AB9" s="64"/>
      <c r="AC9" s="63"/>
      <c r="AD9" s="49"/>
      <c r="AE9" s="49"/>
      <c r="AF9" s="49"/>
      <c r="AG9" s="64"/>
      <c r="AH9" s="63"/>
      <c r="AI9" s="49"/>
      <c r="AJ9" s="49"/>
      <c r="AK9" s="49"/>
      <c r="AL9" s="64"/>
      <c r="AM9" s="63"/>
      <c r="AN9" s="49"/>
      <c r="AO9" s="49"/>
      <c r="AP9" s="49"/>
      <c r="AQ9" s="64"/>
      <c r="AR9" s="63"/>
      <c r="AS9" s="49"/>
      <c r="AT9" s="49"/>
      <c r="AU9" s="49"/>
      <c r="AV9" s="64"/>
      <c r="AW9" s="63"/>
      <c r="AX9" s="49"/>
      <c r="AY9" s="49"/>
      <c r="AZ9" s="49"/>
      <c r="BA9" s="64"/>
      <c r="BB9" s="63"/>
      <c r="BC9" s="49"/>
      <c r="BD9" s="49"/>
      <c r="BE9" s="49"/>
      <c r="BF9" s="64"/>
      <c r="BG9" s="63"/>
      <c r="BH9" s="49"/>
      <c r="BI9" s="49"/>
      <c r="BJ9" s="49"/>
      <c r="BK9" s="64"/>
      <c r="BM9" s="12"/>
      <c r="BN9" s="12"/>
      <c r="BO9" s="115" t="s">
        <v>22</v>
      </c>
      <c r="BP9" s="72"/>
      <c r="BQ9" s="72"/>
      <c r="BR9" s="72"/>
      <c r="BS9" s="72"/>
      <c r="BT9" s="72"/>
      <c r="BU9" s="72"/>
      <c r="BV9" s="72"/>
      <c r="BW9" s="72"/>
      <c r="BX9" s="72"/>
      <c r="BY9" s="72"/>
      <c r="BZ9" s="72"/>
      <c r="CA9" s="72"/>
      <c r="CB9" s="72"/>
      <c r="CC9" s="73"/>
      <c r="CD9" s="12"/>
    </row>
    <row r="10" spans="4:82" x14ac:dyDescent="0.25">
      <c r="E10" s="6"/>
      <c r="F10" s="5"/>
      <c r="H10" s="59"/>
      <c r="I10" s="63"/>
      <c r="J10" s="49"/>
      <c r="K10" s="49"/>
      <c r="L10" s="49"/>
      <c r="M10" s="64"/>
      <c r="N10" s="63"/>
      <c r="O10" s="49"/>
      <c r="P10" s="49"/>
      <c r="Q10" s="49"/>
      <c r="R10" s="64"/>
      <c r="S10" s="63"/>
      <c r="T10" s="49"/>
      <c r="U10" s="49"/>
      <c r="V10" s="49"/>
      <c r="W10" s="64"/>
      <c r="X10" s="63"/>
      <c r="Y10" s="49"/>
      <c r="Z10" s="49"/>
      <c r="AA10" s="49"/>
      <c r="AB10" s="64"/>
      <c r="AC10" s="63"/>
      <c r="AD10" s="49"/>
      <c r="AE10" s="49"/>
      <c r="AF10" s="49"/>
      <c r="AG10" s="64"/>
      <c r="AH10" s="63"/>
      <c r="AI10" s="49"/>
      <c r="AJ10" s="49"/>
      <c r="AK10" s="49"/>
      <c r="AL10" s="64"/>
      <c r="AM10" s="63"/>
      <c r="AN10" s="49"/>
      <c r="AO10" s="49"/>
      <c r="AP10" s="49"/>
      <c r="AQ10" s="64"/>
      <c r="AR10" s="63"/>
      <c r="AS10" s="49"/>
      <c r="AT10" s="49"/>
      <c r="AU10" s="49"/>
      <c r="AV10" s="64"/>
      <c r="AW10" s="63"/>
      <c r="AX10" s="49"/>
      <c r="AY10" s="49"/>
      <c r="AZ10" s="49"/>
      <c r="BA10" s="64"/>
      <c r="BB10" s="63"/>
      <c r="BC10" s="49"/>
      <c r="BD10" s="49"/>
      <c r="BE10" s="49"/>
      <c r="BF10" s="64"/>
      <c r="BG10" s="63"/>
      <c r="BH10" s="49"/>
      <c r="BI10" s="49"/>
      <c r="BJ10" s="49"/>
      <c r="BK10" s="64"/>
      <c r="BM10" s="12"/>
      <c r="BN10" s="12"/>
      <c r="BO10" s="74"/>
      <c r="BP10" s="75"/>
      <c r="BQ10" s="75"/>
      <c r="BR10" s="75"/>
      <c r="BS10" s="75"/>
      <c r="BT10" s="75"/>
      <c r="BU10" s="75"/>
      <c r="BV10" s="75"/>
      <c r="BW10" s="75"/>
      <c r="BX10" s="75"/>
      <c r="BY10" s="75"/>
      <c r="BZ10" s="75"/>
      <c r="CA10" s="75"/>
      <c r="CB10" s="75"/>
      <c r="CC10" s="76"/>
      <c r="CD10" s="12"/>
    </row>
    <row r="11" spans="4:82" x14ac:dyDescent="0.25">
      <c r="E11" s="6"/>
      <c r="F11" s="5"/>
      <c r="H11" s="59"/>
      <c r="I11" s="65">
        <v>26</v>
      </c>
      <c r="J11" s="66"/>
      <c r="K11" s="66"/>
      <c r="L11" s="66"/>
      <c r="M11" s="67"/>
      <c r="N11" s="65">
        <v>27</v>
      </c>
      <c r="O11" s="66"/>
      <c r="P11" s="66"/>
      <c r="Q11" s="66"/>
      <c r="R11" s="67"/>
      <c r="S11" s="65">
        <v>28</v>
      </c>
      <c r="T11" s="66"/>
      <c r="U11" s="66"/>
      <c r="V11" s="66"/>
      <c r="W11" s="67"/>
      <c r="X11" s="65">
        <v>29</v>
      </c>
      <c r="Y11" s="66"/>
      <c r="Z11" s="66"/>
      <c r="AA11" s="66"/>
      <c r="AB11" s="67"/>
      <c r="AC11" s="65">
        <v>30</v>
      </c>
      <c r="AD11" s="66"/>
      <c r="AE11" s="66"/>
      <c r="AF11" s="66"/>
      <c r="AG11" s="67"/>
      <c r="AH11" s="65">
        <v>31</v>
      </c>
      <c r="AI11" s="66"/>
      <c r="AJ11" s="66"/>
      <c r="AK11" s="66"/>
      <c r="AL11" s="67"/>
      <c r="AM11" s="65">
        <v>32</v>
      </c>
      <c r="AN11" s="66"/>
      <c r="AO11" s="66"/>
      <c r="AP11" s="66"/>
      <c r="AQ11" s="67"/>
      <c r="AR11" s="65">
        <v>33</v>
      </c>
      <c r="AS11" s="66"/>
      <c r="AT11" s="66"/>
      <c r="AU11" s="66"/>
      <c r="AV11" s="67"/>
      <c r="AW11" s="65">
        <v>34</v>
      </c>
      <c r="AX11" s="66"/>
      <c r="AY11" s="66"/>
      <c r="AZ11" s="66"/>
      <c r="BA11" s="67"/>
      <c r="BB11" s="65">
        <v>35</v>
      </c>
      <c r="BC11" s="66"/>
      <c r="BD11" s="66"/>
      <c r="BE11" s="66"/>
      <c r="BF11" s="67"/>
      <c r="BG11" s="65">
        <v>12</v>
      </c>
      <c r="BH11" s="66"/>
      <c r="BI11" s="66"/>
      <c r="BJ11" s="66"/>
      <c r="BK11" s="67"/>
      <c r="BM11" s="12"/>
      <c r="BN11" s="12"/>
      <c r="BO11" s="74"/>
      <c r="BP11" s="75"/>
      <c r="BQ11" s="75"/>
      <c r="BR11" s="75"/>
      <c r="BS11" s="75"/>
      <c r="BT11" s="75"/>
      <c r="BU11" s="75"/>
      <c r="BV11" s="75"/>
      <c r="BW11" s="75"/>
      <c r="BX11" s="75"/>
      <c r="BY11" s="75"/>
      <c r="BZ11" s="75"/>
      <c r="CA11" s="75"/>
      <c r="CB11" s="75"/>
      <c r="CC11" s="76"/>
      <c r="CD11" s="12"/>
    </row>
    <row r="12" spans="4:82" x14ac:dyDescent="0.25">
      <c r="E12" s="6"/>
      <c r="F12" s="5"/>
      <c r="H12" s="59"/>
      <c r="I12" s="68"/>
      <c r="J12" s="69"/>
      <c r="K12" s="69"/>
      <c r="L12" s="69"/>
      <c r="M12" s="70"/>
      <c r="N12" s="68"/>
      <c r="O12" s="69"/>
      <c r="P12" s="69"/>
      <c r="Q12" s="69"/>
      <c r="R12" s="70"/>
      <c r="S12" s="68"/>
      <c r="T12" s="69"/>
      <c r="U12" s="69"/>
      <c r="V12" s="69"/>
      <c r="W12" s="70"/>
      <c r="X12" s="68"/>
      <c r="Y12" s="69"/>
      <c r="Z12" s="69"/>
      <c r="AA12" s="69"/>
      <c r="AB12" s="70"/>
      <c r="AC12" s="68"/>
      <c r="AD12" s="69"/>
      <c r="AE12" s="69"/>
      <c r="AF12" s="69"/>
      <c r="AG12" s="70"/>
      <c r="AH12" s="68"/>
      <c r="AI12" s="69"/>
      <c r="AJ12" s="69"/>
      <c r="AK12" s="69"/>
      <c r="AL12" s="70"/>
      <c r="AM12" s="68"/>
      <c r="AN12" s="69"/>
      <c r="AO12" s="69"/>
      <c r="AP12" s="69"/>
      <c r="AQ12" s="70"/>
      <c r="AR12" s="68"/>
      <c r="AS12" s="69"/>
      <c r="AT12" s="69"/>
      <c r="AU12" s="69"/>
      <c r="AV12" s="70"/>
      <c r="AW12" s="68"/>
      <c r="AX12" s="69"/>
      <c r="AY12" s="69"/>
      <c r="AZ12" s="69"/>
      <c r="BA12" s="70"/>
      <c r="BB12" s="68"/>
      <c r="BC12" s="69"/>
      <c r="BD12" s="69"/>
      <c r="BE12" s="69"/>
      <c r="BF12" s="70"/>
      <c r="BG12" s="68"/>
      <c r="BH12" s="69"/>
      <c r="BI12" s="69"/>
      <c r="BJ12" s="69"/>
      <c r="BK12" s="70"/>
      <c r="BM12" s="12"/>
      <c r="BN12" s="12"/>
      <c r="BO12" s="74"/>
      <c r="BP12" s="75"/>
      <c r="BQ12" s="75"/>
      <c r="BR12" s="75"/>
      <c r="BS12" s="75"/>
      <c r="BT12" s="75"/>
      <c r="BU12" s="75"/>
      <c r="BV12" s="75"/>
      <c r="BW12" s="75"/>
      <c r="BX12" s="75"/>
      <c r="BY12" s="75"/>
      <c r="BZ12" s="75"/>
      <c r="CA12" s="75"/>
      <c r="CB12" s="75"/>
      <c r="CC12" s="76"/>
      <c r="CD12" s="12"/>
    </row>
    <row r="13" spans="4:82" x14ac:dyDescent="0.25">
      <c r="E13" s="6"/>
      <c r="F13" s="5"/>
      <c r="H13" s="59">
        <v>10</v>
      </c>
      <c r="I13" s="60">
        <f>100-1.47</f>
        <v>98.53</v>
      </c>
      <c r="J13" s="61"/>
      <c r="K13" s="61"/>
      <c r="L13" s="61"/>
      <c r="M13" s="62"/>
      <c r="N13" s="60">
        <f>SUM(N18+I18+I13)/3-0.25</f>
        <v>98.27</v>
      </c>
      <c r="O13" s="61"/>
      <c r="P13" s="61"/>
      <c r="Q13" s="61"/>
      <c r="R13" s="62"/>
      <c r="S13" s="60">
        <f>S18-0.25</f>
        <v>98.27</v>
      </c>
      <c r="T13" s="61"/>
      <c r="U13" s="61"/>
      <c r="V13" s="61"/>
      <c r="W13" s="62"/>
      <c r="X13" s="60">
        <f t="shared" ref="X13" si="3">X18-0.25</f>
        <v>98.29</v>
      </c>
      <c r="Y13" s="61"/>
      <c r="Z13" s="61"/>
      <c r="AA13" s="61"/>
      <c r="AB13" s="62"/>
      <c r="AC13" s="60">
        <f t="shared" ref="AC13" si="4">AC18-0.25</f>
        <v>98.2</v>
      </c>
      <c r="AD13" s="61"/>
      <c r="AE13" s="61"/>
      <c r="AF13" s="61"/>
      <c r="AG13" s="62"/>
      <c r="AH13" s="60">
        <f t="shared" ref="AH13" si="5">AH18-0.25</f>
        <v>98.26</v>
      </c>
      <c r="AI13" s="61"/>
      <c r="AJ13" s="61"/>
      <c r="AK13" s="61"/>
      <c r="AL13" s="62"/>
      <c r="AM13" s="60">
        <f t="shared" ref="AM13" si="6">AM18-0.25</f>
        <v>98.19</v>
      </c>
      <c r="AN13" s="61"/>
      <c r="AO13" s="61"/>
      <c r="AP13" s="61"/>
      <c r="AQ13" s="62"/>
      <c r="AR13" s="60">
        <f t="shared" ref="AR13" si="7">AR18-0.25</f>
        <v>98.19</v>
      </c>
      <c r="AS13" s="61"/>
      <c r="AT13" s="61"/>
      <c r="AU13" s="61"/>
      <c r="AV13" s="62"/>
      <c r="AW13" s="60">
        <f t="shared" ref="AW13" si="8">AW18-0.25</f>
        <v>98.21</v>
      </c>
      <c r="AX13" s="61"/>
      <c r="AY13" s="61"/>
      <c r="AZ13" s="61"/>
      <c r="BA13" s="62"/>
      <c r="BB13" s="60">
        <f>SUM(BB18+BG18+BG13)/3-0.25</f>
        <v>98.283333333333346</v>
      </c>
      <c r="BC13" s="61"/>
      <c r="BD13" s="61"/>
      <c r="BE13" s="61"/>
      <c r="BF13" s="62"/>
      <c r="BG13" s="60">
        <f>100-1.44</f>
        <v>98.56</v>
      </c>
      <c r="BH13" s="61"/>
      <c r="BI13" s="61"/>
      <c r="BJ13" s="61"/>
      <c r="BK13" s="62"/>
      <c r="BM13" s="12"/>
      <c r="BN13" s="12"/>
      <c r="BO13" s="74"/>
      <c r="BP13" s="75"/>
      <c r="BQ13" s="75"/>
      <c r="BR13" s="75"/>
      <c r="BS13" s="75"/>
      <c r="BT13" s="75"/>
      <c r="BU13" s="75"/>
      <c r="BV13" s="75"/>
      <c r="BW13" s="75"/>
      <c r="BX13" s="75"/>
      <c r="BY13" s="75"/>
      <c r="BZ13" s="75"/>
      <c r="CA13" s="75"/>
      <c r="CB13" s="75"/>
      <c r="CC13" s="76"/>
      <c r="CD13" s="12"/>
    </row>
    <row r="14" spans="4:82" x14ac:dyDescent="0.25">
      <c r="E14" s="6"/>
      <c r="F14" s="5"/>
      <c r="H14" s="59"/>
      <c r="I14" s="63"/>
      <c r="J14" s="49"/>
      <c r="K14" s="49"/>
      <c r="L14" s="49"/>
      <c r="M14" s="64"/>
      <c r="N14" s="63"/>
      <c r="O14" s="49"/>
      <c r="P14" s="49"/>
      <c r="Q14" s="49"/>
      <c r="R14" s="64"/>
      <c r="S14" s="63"/>
      <c r="T14" s="49"/>
      <c r="U14" s="49"/>
      <c r="V14" s="49"/>
      <c r="W14" s="64"/>
      <c r="X14" s="63"/>
      <c r="Y14" s="49"/>
      <c r="Z14" s="49"/>
      <c r="AA14" s="49"/>
      <c r="AB14" s="64"/>
      <c r="AC14" s="63"/>
      <c r="AD14" s="49"/>
      <c r="AE14" s="49"/>
      <c r="AF14" s="49"/>
      <c r="AG14" s="64"/>
      <c r="AH14" s="63"/>
      <c r="AI14" s="49"/>
      <c r="AJ14" s="49"/>
      <c r="AK14" s="49"/>
      <c r="AL14" s="64"/>
      <c r="AM14" s="63"/>
      <c r="AN14" s="49"/>
      <c r="AO14" s="49"/>
      <c r="AP14" s="49"/>
      <c r="AQ14" s="64"/>
      <c r="AR14" s="63"/>
      <c r="AS14" s="49"/>
      <c r="AT14" s="49"/>
      <c r="AU14" s="49"/>
      <c r="AV14" s="64"/>
      <c r="AW14" s="63"/>
      <c r="AX14" s="49"/>
      <c r="AY14" s="49"/>
      <c r="AZ14" s="49"/>
      <c r="BA14" s="64"/>
      <c r="BB14" s="63"/>
      <c r="BC14" s="49"/>
      <c r="BD14" s="49"/>
      <c r="BE14" s="49"/>
      <c r="BF14" s="64"/>
      <c r="BG14" s="63"/>
      <c r="BH14" s="49"/>
      <c r="BI14" s="49"/>
      <c r="BJ14" s="49"/>
      <c r="BK14" s="64"/>
      <c r="BM14" s="12"/>
      <c r="BN14" s="12"/>
      <c r="BO14" s="77"/>
      <c r="BP14" s="78"/>
      <c r="BQ14" s="78"/>
      <c r="BR14" s="78"/>
      <c r="BS14" s="78"/>
      <c r="BT14" s="78"/>
      <c r="BU14" s="78"/>
      <c r="BV14" s="78"/>
      <c r="BW14" s="78"/>
      <c r="BX14" s="78"/>
      <c r="BY14" s="78"/>
      <c r="BZ14" s="78"/>
      <c r="CA14" s="78"/>
      <c r="CB14" s="78"/>
      <c r="CC14" s="79"/>
      <c r="CD14" s="12"/>
    </row>
    <row r="15" spans="4:82" x14ac:dyDescent="0.25">
      <c r="D15" s="49">
        <f>SUM(H3:H20)</f>
        <v>35</v>
      </c>
      <c r="E15" s="66"/>
      <c r="F15" s="66"/>
      <c r="G15" s="66"/>
      <c r="H15" s="59"/>
      <c r="I15" s="63"/>
      <c r="J15" s="49"/>
      <c r="K15" s="49"/>
      <c r="L15" s="49"/>
      <c r="M15" s="64"/>
      <c r="N15" s="63"/>
      <c r="O15" s="49"/>
      <c r="P15" s="49"/>
      <c r="Q15" s="49"/>
      <c r="R15" s="64"/>
      <c r="S15" s="63"/>
      <c r="T15" s="49"/>
      <c r="U15" s="49"/>
      <c r="V15" s="49"/>
      <c r="W15" s="64"/>
      <c r="X15" s="63"/>
      <c r="Y15" s="49"/>
      <c r="Z15" s="49"/>
      <c r="AA15" s="49"/>
      <c r="AB15" s="64"/>
      <c r="AC15" s="63"/>
      <c r="AD15" s="49"/>
      <c r="AE15" s="49"/>
      <c r="AF15" s="49"/>
      <c r="AG15" s="64"/>
      <c r="AH15" s="63"/>
      <c r="AI15" s="49"/>
      <c r="AJ15" s="49"/>
      <c r="AK15" s="49"/>
      <c r="AL15" s="64"/>
      <c r="AM15" s="63"/>
      <c r="AN15" s="49"/>
      <c r="AO15" s="49"/>
      <c r="AP15" s="49"/>
      <c r="AQ15" s="64"/>
      <c r="AR15" s="63"/>
      <c r="AS15" s="49"/>
      <c r="AT15" s="49"/>
      <c r="AU15" s="49"/>
      <c r="AV15" s="64"/>
      <c r="AW15" s="63"/>
      <c r="AX15" s="49"/>
      <c r="AY15" s="49"/>
      <c r="AZ15" s="49"/>
      <c r="BA15" s="64"/>
      <c r="BB15" s="63"/>
      <c r="BC15" s="49"/>
      <c r="BD15" s="49"/>
      <c r="BE15" s="49"/>
      <c r="BF15" s="64"/>
      <c r="BG15" s="63"/>
      <c r="BH15" s="49"/>
      <c r="BI15" s="49"/>
      <c r="BJ15" s="49"/>
      <c r="BK15" s="64"/>
      <c r="BM15" s="12"/>
      <c r="BN15" s="12"/>
      <c r="BO15" s="50" t="s">
        <v>24</v>
      </c>
      <c r="BP15" s="51"/>
      <c r="BQ15" s="51"/>
      <c r="BR15" s="51"/>
      <c r="BS15" s="51"/>
      <c r="BT15" s="51"/>
      <c r="BU15" s="51"/>
      <c r="BV15" s="51"/>
      <c r="BW15" s="51"/>
      <c r="BX15" s="51"/>
      <c r="BY15" s="51"/>
      <c r="BZ15" s="51"/>
      <c r="CA15" s="51"/>
      <c r="CB15" s="51"/>
      <c r="CC15" s="52"/>
      <c r="CD15" s="12"/>
    </row>
    <row r="16" spans="4:82" x14ac:dyDescent="0.25">
      <c r="E16" s="6"/>
      <c r="F16" s="5"/>
      <c r="H16" s="59"/>
      <c r="I16" s="65">
        <v>25</v>
      </c>
      <c r="J16" s="66"/>
      <c r="K16" s="66"/>
      <c r="L16" s="66"/>
      <c r="M16" s="67"/>
      <c r="N16" s="65">
        <v>44</v>
      </c>
      <c r="O16" s="66"/>
      <c r="P16" s="66"/>
      <c r="Q16" s="66"/>
      <c r="R16" s="67"/>
      <c r="S16" s="65">
        <v>43</v>
      </c>
      <c r="T16" s="66"/>
      <c r="U16" s="66"/>
      <c r="V16" s="66"/>
      <c r="W16" s="67"/>
      <c r="X16" s="65">
        <v>42</v>
      </c>
      <c r="Y16" s="66"/>
      <c r="Z16" s="66"/>
      <c r="AA16" s="66"/>
      <c r="AB16" s="67"/>
      <c r="AC16" s="65">
        <v>41</v>
      </c>
      <c r="AD16" s="66"/>
      <c r="AE16" s="66"/>
      <c r="AF16" s="66"/>
      <c r="AG16" s="67"/>
      <c r="AH16" s="65">
        <v>40</v>
      </c>
      <c r="AI16" s="66"/>
      <c r="AJ16" s="66"/>
      <c r="AK16" s="66"/>
      <c r="AL16" s="67"/>
      <c r="AM16" s="65">
        <v>39</v>
      </c>
      <c r="AN16" s="66"/>
      <c r="AO16" s="66"/>
      <c r="AP16" s="66"/>
      <c r="AQ16" s="67"/>
      <c r="AR16" s="65">
        <v>38</v>
      </c>
      <c r="AS16" s="66"/>
      <c r="AT16" s="66"/>
      <c r="AU16" s="66"/>
      <c r="AV16" s="67"/>
      <c r="AW16" s="65">
        <v>37</v>
      </c>
      <c r="AX16" s="66"/>
      <c r="AY16" s="66"/>
      <c r="AZ16" s="66"/>
      <c r="BA16" s="67"/>
      <c r="BB16" s="65">
        <v>36</v>
      </c>
      <c r="BC16" s="66"/>
      <c r="BD16" s="66"/>
      <c r="BE16" s="66"/>
      <c r="BF16" s="67"/>
      <c r="BG16" s="65">
        <v>13</v>
      </c>
      <c r="BH16" s="66"/>
      <c r="BI16" s="66"/>
      <c r="BJ16" s="66"/>
      <c r="BK16" s="67"/>
      <c r="BM16" s="12"/>
      <c r="BN16" s="12"/>
      <c r="BO16" s="53"/>
      <c r="BP16" s="54"/>
      <c r="BQ16" s="54"/>
      <c r="BR16" s="54"/>
      <c r="BS16" s="54"/>
      <c r="BT16" s="54"/>
      <c r="BU16" s="54"/>
      <c r="BV16" s="54"/>
      <c r="BW16" s="54"/>
      <c r="BX16" s="54"/>
      <c r="BY16" s="54"/>
      <c r="BZ16" s="54"/>
      <c r="CA16" s="54"/>
      <c r="CB16" s="54"/>
      <c r="CC16" s="55"/>
      <c r="CD16" s="12"/>
    </row>
    <row r="17" spans="1:82" x14ac:dyDescent="0.25">
      <c r="D17" s="10"/>
      <c r="E17" s="6"/>
      <c r="F17" s="5"/>
      <c r="G17" s="12"/>
      <c r="H17" s="59"/>
      <c r="I17" s="68"/>
      <c r="J17" s="69"/>
      <c r="K17" s="69"/>
      <c r="L17" s="69"/>
      <c r="M17" s="70"/>
      <c r="N17" s="68"/>
      <c r="O17" s="69"/>
      <c r="P17" s="69"/>
      <c r="Q17" s="69"/>
      <c r="R17" s="70"/>
      <c r="S17" s="68"/>
      <c r="T17" s="69"/>
      <c r="U17" s="69"/>
      <c r="V17" s="69"/>
      <c r="W17" s="70"/>
      <c r="X17" s="68"/>
      <c r="Y17" s="69"/>
      <c r="Z17" s="69"/>
      <c r="AA17" s="69"/>
      <c r="AB17" s="70"/>
      <c r="AC17" s="68"/>
      <c r="AD17" s="69"/>
      <c r="AE17" s="69"/>
      <c r="AF17" s="69"/>
      <c r="AG17" s="70"/>
      <c r="AH17" s="68"/>
      <c r="AI17" s="69"/>
      <c r="AJ17" s="69"/>
      <c r="AK17" s="69"/>
      <c r="AL17" s="70"/>
      <c r="AM17" s="68"/>
      <c r="AN17" s="69"/>
      <c r="AO17" s="69"/>
      <c r="AP17" s="69"/>
      <c r="AQ17" s="70"/>
      <c r="AR17" s="68"/>
      <c r="AS17" s="69"/>
      <c r="AT17" s="69"/>
      <c r="AU17" s="69"/>
      <c r="AV17" s="70"/>
      <c r="AW17" s="68"/>
      <c r="AX17" s="69"/>
      <c r="AY17" s="69"/>
      <c r="AZ17" s="69"/>
      <c r="BA17" s="70"/>
      <c r="BB17" s="68"/>
      <c r="BC17" s="69"/>
      <c r="BD17" s="69"/>
      <c r="BE17" s="69"/>
      <c r="BF17" s="70"/>
      <c r="BG17" s="68"/>
      <c r="BH17" s="69"/>
      <c r="BI17" s="69"/>
      <c r="BJ17" s="69"/>
      <c r="BK17" s="70"/>
      <c r="BM17" s="12"/>
      <c r="BN17" s="12"/>
      <c r="BO17" s="50" t="s">
        <v>6</v>
      </c>
      <c r="BP17" s="51"/>
      <c r="BQ17" s="51"/>
      <c r="BR17" s="51"/>
      <c r="BS17" s="51"/>
      <c r="BT17" s="51"/>
      <c r="BU17" s="51"/>
      <c r="BV17" s="51"/>
      <c r="BW17" s="51"/>
      <c r="BX17" s="51"/>
      <c r="BY17" s="51"/>
      <c r="BZ17" s="51"/>
      <c r="CA17" s="51"/>
      <c r="CB17" s="51"/>
      <c r="CC17" s="52"/>
      <c r="CD17" s="12"/>
    </row>
    <row r="18" spans="1:82" x14ac:dyDescent="0.25">
      <c r="E18" s="6"/>
      <c r="F18" s="5"/>
      <c r="H18" s="59">
        <v>10</v>
      </c>
      <c r="I18" s="60">
        <f>100-1.38</f>
        <v>98.62</v>
      </c>
      <c r="J18" s="61"/>
      <c r="K18" s="61"/>
      <c r="L18" s="61"/>
      <c r="M18" s="62"/>
      <c r="N18" s="60">
        <f>100-1.59</f>
        <v>98.41</v>
      </c>
      <c r="O18" s="61"/>
      <c r="P18" s="61"/>
      <c r="Q18" s="61"/>
      <c r="R18" s="62"/>
      <c r="S18" s="60">
        <f>100-1.48</f>
        <v>98.52</v>
      </c>
      <c r="T18" s="61"/>
      <c r="U18" s="61"/>
      <c r="V18" s="61"/>
      <c r="W18" s="62"/>
      <c r="X18" s="60">
        <f>100-1.46</f>
        <v>98.54</v>
      </c>
      <c r="Y18" s="61"/>
      <c r="Z18" s="61"/>
      <c r="AA18" s="61"/>
      <c r="AB18" s="62"/>
      <c r="AC18" s="60">
        <f>100-1.55</f>
        <v>98.45</v>
      </c>
      <c r="AD18" s="61"/>
      <c r="AE18" s="61"/>
      <c r="AF18" s="61"/>
      <c r="AG18" s="62"/>
      <c r="AH18" s="60">
        <f>100-1.49</f>
        <v>98.51</v>
      </c>
      <c r="AI18" s="61"/>
      <c r="AJ18" s="61"/>
      <c r="AK18" s="61"/>
      <c r="AL18" s="62"/>
      <c r="AM18" s="60">
        <f>100-1.56</f>
        <v>98.44</v>
      </c>
      <c r="AN18" s="61"/>
      <c r="AO18" s="61"/>
      <c r="AP18" s="61"/>
      <c r="AQ18" s="62"/>
      <c r="AR18" s="60">
        <f>100-1.56</f>
        <v>98.44</v>
      </c>
      <c r="AS18" s="61"/>
      <c r="AT18" s="61"/>
      <c r="AU18" s="61"/>
      <c r="AV18" s="62"/>
      <c r="AW18" s="60">
        <f>100-1.54</f>
        <v>98.46</v>
      </c>
      <c r="AX18" s="61"/>
      <c r="AY18" s="61"/>
      <c r="AZ18" s="61"/>
      <c r="BA18" s="62"/>
      <c r="BB18" s="60">
        <f>100-1.48</f>
        <v>98.52</v>
      </c>
      <c r="BC18" s="61"/>
      <c r="BD18" s="61"/>
      <c r="BE18" s="61"/>
      <c r="BF18" s="62"/>
      <c r="BG18" s="60">
        <f>100-1.48</f>
        <v>98.52</v>
      </c>
      <c r="BH18" s="61"/>
      <c r="BI18" s="61"/>
      <c r="BJ18" s="61"/>
      <c r="BK18" s="62"/>
      <c r="BM18" s="12"/>
      <c r="BN18" s="12"/>
      <c r="BO18" s="53"/>
      <c r="BP18" s="54"/>
      <c r="BQ18" s="54"/>
      <c r="BR18" s="54"/>
      <c r="BS18" s="54"/>
      <c r="BT18" s="54"/>
      <c r="BU18" s="54"/>
      <c r="BV18" s="54"/>
      <c r="BW18" s="54"/>
      <c r="BX18" s="54"/>
      <c r="BY18" s="54"/>
      <c r="BZ18" s="54"/>
      <c r="CA18" s="54"/>
      <c r="CB18" s="54"/>
      <c r="CC18" s="55"/>
      <c r="CD18" s="12"/>
    </row>
    <row r="19" spans="1:82" x14ac:dyDescent="0.25">
      <c r="E19" s="6"/>
      <c r="F19" s="5"/>
      <c r="H19" s="59"/>
      <c r="I19" s="63"/>
      <c r="J19" s="49"/>
      <c r="K19" s="49"/>
      <c r="L19" s="49"/>
      <c r="M19" s="64"/>
      <c r="N19" s="63"/>
      <c r="O19" s="49"/>
      <c r="P19" s="49"/>
      <c r="Q19" s="49"/>
      <c r="R19" s="64"/>
      <c r="S19" s="63"/>
      <c r="T19" s="49"/>
      <c r="U19" s="49"/>
      <c r="V19" s="49"/>
      <c r="W19" s="64"/>
      <c r="X19" s="63"/>
      <c r="Y19" s="49"/>
      <c r="Z19" s="49"/>
      <c r="AA19" s="49"/>
      <c r="AB19" s="64"/>
      <c r="AC19" s="63"/>
      <c r="AD19" s="49"/>
      <c r="AE19" s="49"/>
      <c r="AF19" s="49"/>
      <c r="AG19" s="64"/>
      <c r="AH19" s="63"/>
      <c r="AI19" s="49"/>
      <c r="AJ19" s="49"/>
      <c r="AK19" s="49"/>
      <c r="AL19" s="64"/>
      <c r="AM19" s="63"/>
      <c r="AN19" s="49"/>
      <c r="AO19" s="49"/>
      <c r="AP19" s="49"/>
      <c r="AQ19" s="64"/>
      <c r="AR19" s="63"/>
      <c r="AS19" s="49"/>
      <c r="AT19" s="49"/>
      <c r="AU19" s="49"/>
      <c r="AV19" s="64"/>
      <c r="AW19" s="63"/>
      <c r="AX19" s="49"/>
      <c r="AY19" s="49"/>
      <c r="AZ19" s="49"/>
      <c r="BA19" s="64"/>
      <c r="BB19" s="63"/>
      <c r="BC19" s="49"/>
      <c r="BD19" s="49"/>
      <c r="BE19" s="49"/>
      <c r="BF19" s="64"/>
      <c r="BG19" s="63"/>
      <c r="BH19" s="49"/>
      <c r="BI19" s="49"/>
      <c r="BJ19" s="49"/>
      <c r="BK19" s="64"/>
      <c r="BM19" s="12"/>
      <c r="BN19" s="12"/>
      <c r="BO19" s="50" t="s">
        <v>7</v>
      </c>
      <c r="BP19" s="51"/>
      <c r="BQ19" s="51"/>
      <c r="BR19" s="51"/>
      <c r="BS19" s="51"/>
      <c r="BT19" s="51"/>
      <c r="BU19" s="51"/>
      <c r="BV19" s="51"/>
      <c r="BW19" s="51"/>
      <c r="BX19" s="51"/>
      <c r="BY19" s="51"/>
      <c r="BZ19" s="51"/>
      <c r="CA19" s="51"/>
      <c r="CB19" s="51"/>
      <c r="CC19" s="52"/>
      <c r="CD19" s="12"/>
    </row>
    <row r="20" spans="1:82" x14ac:dyDescent="0.25">
      <c r="E20" s="6"/>
      <c r="F20" s="5"/>
      <c r="H20" s="59"/>
      <c r="I20" s="63"/>
      <c r="J20" s="49"/>
      <c r="K20" s="49"/>
      <c r="L20" s="49"/>
      <c r="M20" s="64"/>
      <c r="N20" s="63"/>
      <c r="O20" s="49"/>
      <c r="P20" s="49"/>
      <c r="Q20" s="49"/>
      <c r="R20" s="64"/>
      <c r="S20" s="63"/>
      <c r="T20" s="49"/>
      <c r="U20" s="49"/>
      <c r="V20" s="49"/>
      <c r="W20" s="64"/>
      <c r="X20" s="63"/>
      <c r="Y20" s="49"/>
      <c r="Z20" s="49"/>
      <c r="AA20" s="49"/>
      <c r="AB20" s="64"/>
      <c r="AC20" s="63"/>
      <c r="AD20" s="49"/>
      <c r="AE20" s="49"/>
      <c r="AF20" s="49"/>
      <c r="AG20" s="64"/>
      <c r="AH20" s="63"/>
      <c r="AI20" s="49"/>
      <c r="AJ20" s="49"/>
      <c r="AK20" s="49"/>
      <c r="AL20" s="64"/>
      <c r="AM20" s="63"/>
      <c r="AN20" s="49"/>
      <c r="AO20" s="49"/>
      <c r="AP20" s="49"/>
      <c r="AQ20" s="64"/>
      <c r="AR20" s="63"/>
      <c r="AS20" s="49"/>
      <c r="AT20" s="49"/>
      <c r="AU20" s="49"/>
      <c r="AV20" s="64"/>
      <c r="AW20" s="63"/>
      <c r="AX20" s="49"/>
      <c r="AY20" s="49"/>
      <c r="AZ20" s="49"/>
      <c r="BA20" s="64"/>
      <c r="BB20" s="63"/>
      <c r="BC20" s="49"/>
      <c r="BD20" s="49"/>
      <c r="BE20" s="49"/>
      <c r="BF20" s="64"/>
      <c r="BG20" s="63"/>
      <c r="BH20" s="49"/>
      <c r="BI20" s="49"/>
      <c r="BJ20" s="49"/>
      <c r="BK20" s="64"/>
      <c r="BM20" s="12"/>
      <c r="BN20" s="12"/>
      <c r="BO20" s="53"/>
      <c r="BP20" s="54"/>
      <c r="BQ20" s="54"/>
      <c r="BR20" s="54"/>
      <c r="BS20" s="54"/>
      <c r="BT20" s="54"/>
      <c r="BU20" s="54"/>
      <c r="BV20" s="54"/>
      <c r="BW20" s="54"/>
      <c r="BX20" s="54"/>
      <c r="BY20" s="54"/>
      <c r="BZ20" s="54"/>
      <c r="CA20" s="54"/>
      <c r="CB20" s="54"/>
      <c r="CC20" s="55"/>
      <c r="CD20" s="12"/>
    </row>
    <row r="21" spans="1:82" x14ac:dyDescent="0.25">
      <c r="E21" s="6"/>
      <c r="F21" s="5"/>
      <c r="H21" s="59"/>
      <c r="I21" s="65">
        <v>24</v>
      </c>
      <c r="J21" s="66"/>
      <c r="K21" s="66"/>
      <c r="L21" s="66"/>
      <c r="M21" s="67"/>
      <c r="N21" s="65">
        <v>23</v>
      </c>
      <c r="O21" s="66"/>
      <c r="P21" s="66"/>
      <c r="Q21" s="66"/>
      <c r="R21" s="67"/>
      <c r="S21" s="65">
        <v>22</v>
      </c>
      <c r="T21" s="66"/>
      <c r="U21" s="66"/>
      <c r="V21" s="66"/>
      <c r="W21" s="67"/>
      <c r="X21" s="65">
        <v>21</v>
      </c>
      <c r="Y21" s="66"/>
      <c r="Z21" s="66"/>
      <c r="AA21" s="66"/>
      <c r="AB21" s="67"/>
      <c r="AC21" s="65">
        <v>20</v>
      </c>
      <c r="AD21" s="66"/>
      <c r="AE21" s="66"/>
      <c r="AF21" s="66"/>
      <c r="AG21" s="67"/>
      <c r="AH21" s="65">
        <v>19</v>
      </c>
      <c r="AI21" s="66"/>
      <c r="AJ21" s="66"/>
      <c r="AK21" s="66"/>
      <c r="AL21" s="67"/>
      <c r="AM21" s="65">
        <v>18</v>
      </c>
      <c r="AN21" s="66"/>
      <c r="AO21" s="66"/>
      <c r="AP21" s="66"/>
      <c r="AQ21" s="67"/>
      <c r="AR21" s="65">
        <v>17</v>
      </c>
      <c r="AS21" s="66"/>
      <c r="AT21" s="66"/>
      <c r="AU21" s="66"/>
      <c r="AV21" s="67"/>
      <c r="AW21" s="65">
        <v>16</v>
      </c>
      <c r="AX21" s="66"/>
      <c r="AY21" s="66"/>
      <c r="AZ21" s="66"/>
      <c r="BA21" s="67"/>
      <c r="BB21" s="65">
        <v>15</v>
      </c>
      <c r="BC21" s="66"/>
      <c r="BD21" s="66"/>
      <c r="BE21" s="66"/>
      <c r="BF21" s="67"/>
      <c r="BG21" s="65">
        <v>14</v>
      </c>
      <c r="BH21" s="66"/>
      <c r="BI21" s="66"/>
      <c r="BJ21" s="66"/>
      <c r="BK21" s="67"/>
      <c r="BM21" s="12"/>
      <c r="BN21" s="12"/>
      <c r="BO21" s="50"/>
      <c r="BP21" s="51"/>
      <c r="BQ21" s="51"/>
      <c r="BR21" s="51"/>
      <c r="BS21" s="51"/>
      <c r="BT21" s="51"/>
      <c r="BU21" s="51"/>
      <c r="BV21" s="51"/>
      <c r="BW21" s="51"/>
      <c r="BX21" s="51"/>
      <c r="BY21" s="51"/>
      <c r="BZ21" s="51"/>
      <c r="CA21" s="51"/>
      <c r="CB21" s="51"/>
      <c r="CC21" s="52"/>
      <c r="CD21" s="12"/>
    </row>
    <row r="22" spans="1:82" x14ac:dyDescent="0.25">
      <c r="E22" s="9"/>
      <c r="F22" s="7"/>
      <c r="H22" s="59"/>
      <c r="I22" s="68"/>
      <c r="J22" s="69"/>
      <c r="K22" s="69"/>
      <c r="L22" s="69"/>
      <c r="M22" s="70"/>
      <c r="N22" s="68"/>
      <c r="O22" s="69"/>
      <c r="P22" s="69"/>
      <c r="Q22" s="69"/>
      <c r="R22" s="70"/>
      <c r="S22" s="68"/>
      <c r="T22" s="69"/>
      <c r="U22" s="69"/>
      <c r="V22" s="69"/>
      <c r="W22" s="70"/>
      <c r="X22" s="68"/>
      <c r="Y22" s="69"/>
      <c r="Z22" s="69"/>
      <c r="AA22" s="69"/>
      <c r="AB22" s="70"/>
      <c r="AC22" s="68"/>
      <c r="AD22" s="69"/>
      <c r="AE22" s="69"/>
      <c r="AF22" s="69"/>
      <c r="AG22" s="70"/>
      <c r="AH22" s="68"/>
      <c r="AI22" s="69"/>
      <c r="AJ22" s="69"/>
      <c r="AK22" s="69"/>
      <c r="AL22" s="70"/>
      <c r="AM22" s="68"/>
      <c r="AN22" s="69"/>
      <c r="AO22" s="69"/>
      <c r="AP22" s="69"/>
      <c r="AQ22" s="70"/>
      <c r="AR22" s="68"/>
      <c r="AS22" s="69"/>
      <c r="AT22" s="69"/>
      <c r="AU22" s="69"/>
      <c r="AV22" s="70"/>
      <c r="AW22" s="68"/>
      <c r="AX22" s="69"/>
      <c r="AY22" s="69"/>
      <c r="AZ22" s="69"/>
      <c r="BA22" s="70"/>
      <c r="BB22" s="68"/>
      <c r="BC22" s="69"/>
      <c r="BD22" s="69"/>
      <c r="BE22" s="69"/>
      <c r="BF22" s="70"/>
      <c r="BG22" s="68"/>
      <c r="BH22" s="69"/>
      <c r="BI22" s="69"/>
      <c r="BJ22" s="69"/>
      <c r="BK22" s="70"/>
      <c r="BM22" s="12"/>
      <c r="BN22" s="12"/>
      <c r="BO22" s="53"/>
      <c r="BP22" s="54"/>
      <c r="BQ22" s="54"/>
      <c r="BR22" s="54"/>
      <c r="BS22" s="54"/>
      <c r="BT22" s="54"/>
      <c r="BU22" s="54"/>
      <c r="BV22" s="54"/>
      <c r="BW22" s="54"/>
      <c r="BX22" s="54"/>
      <c r="BY22" s="54"/>
      <c r="BZ22" s="54"/>
      <c r="CA22" s="54"/>
      <c r="CB22" s="54"/>
      <c r="CC22" s="55"/>
      <c r="CD22" s="12"/>
    </row>
    <row r="23" spans="1:82" x14ac:dyDescent="0.25"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</row>
    <row r="26" spans="1:82" x14ac:dyDescent="0.25">
      <c r="I26" s="7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49">
        <f>AF1</f>
        <v>110</v>
      </c>
      <c r="AI26" s="66"/>
      <c r="AJ26" s="66"/>
      <c r="AK26" s="66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9"/>
    </row>
    <row r="27" spans="1:82" x14ac:dyDescent="0.25">
      <c r="C27" s="109"/>
      <c r="D27" s="109"/>
      <c r="E27" s="111"/>
      <c r="F27" s="111"/>
      <c r="G27" s="107"/>
      <c r="H27" s="107"/>
      <c r="I27" s="2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66"/>
      <c r="AI27" s="66"/>
      <c r="AJ27" s="66"/>
      <c r="AK27" s="66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4"/>
      <c r="BL27" s="109"/>
      <c r="BM27" s="109"/>
      <c r="BN27" s="111"/>
      <c r="BO27" s="111"/>
      <c r="BP27" s="107"/>
      <c r="BQ27" s="107"/>
    </row>
    <row r="28" spans="1:82" x14ac:dyDescent="0.25">
      <c r="A28" s="17"/>
      <c r="B28" s="17"/>
      <c r="C28" s="110"/>
      <c r="D28" s="110"/>
      <c r="E28" s="112"/>
      <c r="F28" s="112"/>
      <c r="G28" s="108"/>
      <c r="H28" s="108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10"/>
      <c r="BM28" s="110"/>
      <c r="BN28" s="66"/>
      <c r="BO28" s="66"/>
      <c r="BP28" s="108"/>
      <c r="BQ28" s="108"/>
      <c r="BR28" s="17"/>
      <c r="BS28" s="17"/>
      <c r="BT28" s="112" t="s">
        <v>9</v>
      </c>
      <c r="BU28" s="112"/>
      <c r="BV28" s="112"/>
      <c r="BW28" s="112"/>
      <c r="BX28" s="112"/>
      <c r="BY28" s="112"/>
      <c r="BZ28" s="17"/>
      <c r="CA28" s="17"/>
      <c r="CB28" s="17"/>
      <c r="CC28" s="17"/>
    </row>
    <row r="29" spans="1:82" x14ac:dyDescent="0.25">
      <c r="F29" s="12"/>
      <c r="G29" s="12"/>
      <c r="H29" s="12"/>
      <c r="I29" s="11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BK29" s="6"/>
      <c r="BL29" s="5"/>
      <c r="BN29" s="4"/>
      <c r="BO29" s="2"/>
      <c r="BT29" s="113" t="s">
        <v>10</v>
      </c>
      <c r="BU29" s="113"/>
      <c r="BV29" s="113"/>
      <c r="BW29" s="113"/>
      <c r="BX29" s="113"/>
      <c r="BY29" s="113"/>
    </row>
    <row r="30" spans="1:82" x14ac:dyDescent="0.25">
      <c r="F30" s="12"/>
      <c r="G30" s="12"/>
      <c r="H30" s="12"/>
      <c r="I30" s="11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BK30" s="6"/>
      <c r="BL30" s="5"/>
      <c r="BN30" s="6"/>
      <c r="BO30" s="5"/>
      <c r="BT30" s="66"/>
      <c r="BU30" s="66"/>
      <c r="BV30" s="66"/>
      <c r="BW30" s="66"/>
      <c r="BX30" s="66"/>
      <c r="BY30" s="66"/>
    </row>
    <row r="31" spans="1:82" x14ac:dyDescent="0.25">
      <c r="F31" s="12"/>
      <c r="G31" s="12"/>
      <c r="H31" s="12"/>
      <c r="I31" s="14"/>
      <c r="J31" s="15"/>
      <c r="K31" s="15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BI31" s="8"/>
      <c r="BJ31" s="8"/>
      <c r="BK31" s="9"/>
      <c r="BL31" s="20"/>
      <c r="BM31" s="21"/>
      <c r="BN31" s="22"/>
      <c r="BO31" s="20"/>
      <c r="BP31" s="21"/>
      <c r="BQ31" s="21"/>
      <c r="BR31" s="21"/>
      <c r="BS31" s="21"/>
      <c r="BT31" s="114"/>
      <c r="BU31" s="114"/>
      <c r="BV31" s="114"/>
      <c r="BW31" s="114"/>
      <c r="BX31" s="114"/>
      <c r="BY31" s="114"/>
    </row>
    <row r="32" spans="1:82" x14ac:dyDescent="0.25">
      <c r="F32" s="12"/>
      <c r="G32" s="12"/>
      <c r="H32" s="12"/>
      <c r="I32" s="12"/>
      <c r="J32" s="12"/>
      <c r="K32" s="12"/>
      <c r="L32" s="11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BH32" s="6"/>
      <c r="BI32" s="5"/>
      <c r="BN32" s="64">
        <v>2.2999999999999998</v>
      </c>
      <c r="BO32" s="49"/>
      <c r="BT32" s="66" t="s">
        <v>11</v>
      </c>
      <c r="BU32" s="66"/>
      <c r="BV32" s="66"/>
      <c r="BW32" s="66"/>
      <c r="BX32" s="66"/>
      <c r="BY32" s="66"/>
    </row>
    <row r="33" spans="1:81" x14ac:dyDescent="0.25">
      <c r="F33" s="12"/>
      <c r="G33" s="12"/>
      <c r="H33" s="12"/>
      <c r="I33" s="12"/>
      <c r="J33" s="12"/>
      <c r="K33" s="12"/>
      <c r="L33" s="11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BH33" s="6"/>
      <c r="BI33" s="5"/>
      <c r="BN33" s="64"/>
      <c r="BO33" s="49"/>
      <c r="BT33" s="66"/>
      <c r="BU33" s="66"/>
      <c r="BV33" s="66"/>
      <c r="BW33" s="66"/>
      <c r="BX33" s="66"/>
      <c r="BY33" s="66"/>
    </row>
    <row r="34" spans="1:81" x14ac:dyDescent="0.25">
      <c r="F34" s="12"/>
      <c r="G34" s="12"/>
      <c r="H34" s="12"/>
      <c r="I34" s="12"/>
      <c r="J34" s="12"/>
      <c r="K34" s="12"/>
      <c r="L34" s="14"/>
      <c r="M34" s="15"/>
      <c r="N34" s="15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BF34" s="8"/>
      <c r="BG34" s="8"/>
      <c r="BH34" s="9"/>
      <c r="BI34" s="20"/>
      <c r="BJ34" s="21"/>
      <c r="BK34" s="21"/>
      <c r="BL34" s="21"/>
      <c r="BM34" s="21"/>
      <c r="BN34" s="22"/>
      <c r="BO34" s="20"/>
      <c r="BP34" s="21"/>
      <c r="BQ34" s="21"/>
      <c r="BR34" s="21"/>
      <c r="BS34" s="21"/>
      <c r="BT34" s="114"/>
      <c r="BU34" s="114"/>
      <c r="BV34" s="114"/>
      <c r="BW34" s="114"/>
      <c r="BX34" s="114"/>
      <c r="BY34" s="114"/>
    </row>
    <row r="35" spans="1:81" ht="9" customHeight="1" x14ac:dyDescent="0.25">
      <c r="F35" s="12"/>
      <c r="G35" s="12"/>
      <c r="H35" s="12"/>
      <c r="I35" s="12"/>
      <c r="J35" s="12"/>
      <c r="K35" s="12"/>
      <c r="L35" s="12"/>
      <c r="M35" s="12"/>
      <c r="N35" s="12"/>
      <c r="O35" s="11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BE35" s="6"/>
      <c r="BF35" s="5"/>
      <c r="BN35" s="6"/>
      <c r="BO35" s="5"/>
      <c r="BT35" s="66" t="s">
        <v>23</v>
      </c>
      <c r="BU35" s="66"/>
      <c r="BV35" s="66"/>
      <c r="BW35" s="66"/>
      <c r="BX35" s="66"/>
      <c r="BY35" s="66"/>
    </row>
    <row r="36" spans="1:81" x14ac:dyDescent="0.25">
      <c r="F36" s="12"/>
      <c r="G36" s="12"/>
      <c r="H36" s="12"/>
      <c r="I36" s="12"/>
      <c r="J36" s="12"/>
      <c r="K36" s="12"/>
      <c r="L36" s="12"/>
      <c r="M36" s="12"/>
      <c r="N36" s="12"/>
      <c r="O36" s="14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9"/>
      <c r="BF36" s="20"/>
      <c r="BG36" s="21"/>
      <c r="BH36" s="21"/>
      <c r="BI36" s="21"/>
      <c r="BJ36" s="21"/>
      <c r="BK36" s="21"/>
      <c r="BL36" s="21"/>
      <c r="BM36" s="21"/>
      <c r="BN36" s="9"/>
      <c r="BO36" s="7"/>
      <c r="BP36" s="21"/>
      <c r="BQ36" s="21"/>
      <c r="BR36" s="21"/>
      <c r="BS36" s="21"/>
      <c r="BT36" s="114"/>
      <c r="BU36" s="114"/>
      <c r="BV36" s="114"/>
      <c r="BW36" s="114"/>
      <c r="BX36" s="114"/>
      <c r="BY36" s="114"/>
    </row>
    <row r="37" spans="1:81" x14ac:dyDescent="0.25"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</row>
    <row r="38" spans="1:81" x14ac:dyDescent="0.25">
      <c r="F38" s="12"/>
      <c r="G38" s="12"/>
      <c r="H38" s="12"/>
      <c r="I38" s="12"/>
      <c r="J38" s="12"/>
      <c r="K38" s="12"/>
      <c r="L38" s="12"/>
      <c r="M38" s="12"/>
      <c r="N38" s="12"/>
      <c r="O38" s="14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8"/>
      <c r="AE38" s="8"/>
      <c r="AF38" s="8"/>
      <c r="AG38" s="8"/>
      <c r="AH38" s="49">
        <f>AH26-4</f>
        <v>106</v>
      </c>
      <c r="AI38" s="66"/>
      <c r="AJ38" s="66"/>
      <c r="AK38" s="66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9"/>
    </row>
    <row r="39" spans="1:81" x14ac:dyDescent="0.25">
      <c r="F39" s="12"/>
      <c r="G39" s="12"/>
      <c r="H39" s="12"/>
      <c r="I39" s="12"/>
      <c r="J39" s="12"/>
      <c r="K39" s="12"/>
      <c r="L39" s="12"/>
      <c r="M39" s="12"/>
      <c r="N39" s="12"/>
      <c r="O39" s="18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3"/>
      <c r="AE39" s="3"/>
      <c r="AF39" s="3"/>
      <c r="AG39" s="3"/>
      <c r="AH39" s="66"/>
      <c r="AI39" s="66"/>
      <c r="AJ39" s="66"/>
      <c r="AK39" s="66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4"/>
    </row>
    <row r="40" spans="1:81" x14ac:dyDescent="0.25"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</row>
    <row r="41" spans="1:81" x14ac:dyDescent="0.25"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</row>
    <row r="42" spans="1:81" x14ac:dyDescent="0.25">
      <c r="A42" s="48" t="s">
        <v>13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  <c r="BW42" s="48"/>
      <c r="BX42" s="48"/>
      <c r="BY42" s="48"/>
      <c r="BZ42" s="48"/>
      <c r="CA42" s="48"/>
      <c r="CB42" s="48"/>
      <c r="CC42" s="48"/>
    </row>
    <row r="43" spans="1:81" x14ac:dyDescent="0.25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  <c r="BW43" s="48"/>
      <c r="BX43" s="48"/>
      <c r="BY43" s="48"/>
      <c r="BZ43" s="48"/>
      <c r="CA43" s="48"/>
      <c r="CB43" s="48"/>
      <c r="CC43" s="48"/>
    </row>
    <row r="44" spans="1:81" x14ac:dyDescent="0.25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  <c r="BW44" s="48"/>
      <c r="BX44" s="48"/>
      <c r="BY44" s="48"/>
      <c r="BZ44" s="48"/>
      <c r="CA44" s="48"/>
      <c r="CB44" s="48"/>
      <c r="CC44" s="48"/>
    </row>
    <row r="45" spans="1:81" x14ac:dyDescent="0.25"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</row>
    <row r="46" spans="1:81" x14ac:dyDescent="0.25"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</row>
  </sheetData>
  <mergeCells count="136">
    <mergeCell ref="BB4:BF4"/>
    <mergeCell ref="BG4:BK4"/>
    <mergeCell ref="AR5:AV6"/>
    <mergeCell ref="AW5:BA6"/>
    <mergeCell ref="BB5:BF6"/>
    <mergeCell ref="I8:M10"/>
    <mergeCell ref="I11:M12"/>
    <mergeCell ref="N8:R10"/>
    <mergeCell ref="S8:W10"/>
    <mergeCell ref="X8:AB10"/>
    <mergeCell ref="AC8:AG10"/>
    <mergeCell ref="AH8:AL10"/>
    <mergeCell ref="I4:M4"/>
    <mergeCell ref="N4:R4"/>
    <mergeCell ref="S4:W4"/>
    <mergeCell ref="X4:AB4"/>
    <mergeCell ref="AC4:AG4"/>
    <mergeCell ref="AH4:AL4"/>
    <mergeCell ref="AR4:AV4"/>
    <mergeCell ref="AW4:BA4"/>
    <mergeCell ref="AM4:AQ4"/>
    <mergeCell ref="H5:H7"/>
    <mergeCell ref="I5:M6"/>
    <mergeCell ref="N5:R6"/>
    <mergeCell ref="S5:W6"/>
    <mergeCell ref="X5:AB6"/>
    <mergeCell ref="AC5:AG6"/>
    <mergeCell ref="AH5:AL6"/>
    <mergeCell ref="S7:W7"/>
    <mergeCell ref="X7:AB7"/>
    <mergeCell ref="AC7:AG7"/>
    <mergeCell ref="AH13:AL15"/>
    <mergeCell ref="AR13:AV15"/>
    <mergeCell ref="AW13:BA15"/>
    <mergeCell ref="BB13:BF15"/>
    <mergeCell ref="BG13:BK15"/>
    <mergeCell ref="AM5:AQ6"/>
    <mergeCell ref="AM7:AQ7"/>
    <mergeCell ref="BG8:BK10"/>
    <mergeCell ref="BG11:BK12"/>
    <mergeCell ref="AW7:BA7"/>
    <mergeCell ref="AR7:AV7"/>
    <mergeCell ref="AH7:AL7"/>
    <mergeCell ref="BT35:BY36"/>
    <mergeCell ref="AH38:AK39"/>
    <mergeCell ref="A42:CC44"/>
    <mergeCell ref="BO19:CC20"/>
    <mergeCell ref="BO21:CC22"/>
    <mergeCell ref="AM18:AQ20"/>
    <mergeCell ref="AM21:AQ22"/>
    <mergeCell ref="BB16:BF17"/>
    <mergeCell ref="BG16:BK17"/>
    <mergeCell ref="I16:M17"/>
    <mergeCell ref="N16:R17"/>
    <mergeCell ref="S16:W17"/>
    <mergeCell ref="X16:AB17"/>
    <mergeCell ref="AC16:AG17"/>
    <mergeCell ref="AC21:AG22"/>
    <mergeCell ref="AH21:AL22"/>
    <mergeCell ref="AH18:AL20"/>
    <mergeCell ref="AR18:AV20"/>
    <mergeCell ref="AW18:BA20"/>
    <mergeCell ref="BB18:BF20"/>
    <mergeCell ref="BG18:BK20"/>
    <mergeCell ref="AM16:AQ17"/>
    <mergeCell ref="H13:H17"/>
    <mergeCell ref="I13:M15"/>
    <mergeCell ref="BT29:BY31"/>
    <mergeCell ref="BN32:BO33"/>
    <mergeCell ref="BT32:BY34"/>
    <mergeCell ref="AR21:AV22"/>
    <mergeCell ref="AW21:BA22"/>
    <mergeCell ref="BB21:BF22"/>
    <mergeCell ref="BG21:BK22"/>
    <mergeCell ref="AH26:AK27"/>
    <mergeCell ref="C27:D28"/>
    <mergeCell ref="E27:F28"/>
    <mergeCell ref="G27:H28"/>
    <mergeCell ref="I21:M22"/>
    <mergeCell ref="N21:R22"/>
    <mergeCell ref="S21:W22"/>
    <mergeCell ref="X21:AB22"/>
    <mergeCell ref="H18:H22"/>
    <mergeCell ref="I18:M20"/>
    <mergeCell ref="N18:R20"/>
    <mergeCell ref="S18:W20"/>
    <mergeCell ref="X18:AB20"/>
    <mergeCell ref="AC18:AG20"/>
    <mergeCell ref="BO1:BS2"/>
    <mergeCell ref="BT1:BX2"/>
    <mergeCell ref="BY1:CC2"/>
    <mergeCell ref="BO3:BS4"/>
    <mergeCell ref="BT3:BX4"/>
    <mergeCell ref="BY3:CC4"/>
    <mergeCell ref="D15:G15"/>
    <mergeCell ref="AF1:AI2"/>
    <mergeCell ref="BL27:BM28"/>
    <mergeCell ref="BN27:BO28"/>
    <mergeCell ref="BP27:BQ28"/>
    <mergeCell ref="BT28:BY28"/>
    <mergeCell ref="BO15:CC16"/>
    <mergeCell ref="BO17:CC18"/>
    <mergeCell ref="N13:R15"/>
    <mergeCell ref="S13:W15"/>
    <mergeCell ref="X13:AB15"/>
    <mergeCell ref="AC13:AG15"/>
    <mergeCell ref="AH16:AL17"/>
    <mergeCell ref="AR16:AV17"/>
    <mergeCell ref="AW16:BA17"/>
    <mergeCell ref="AM13:AQ15"/>
    <mergeCell ref="BB7:BF7"/>
    <mergeCell ref="BG7:BK7"/>
    <mergeCell ref="H8:H12"/>
    <mergeCell ref="BO5:BS6"/>
    <mergeCell ref="BT5:BX6"/>
    <mergeCell ref="BY5:CC6"/>
    <mergeCell ref="BO7:BS8"/>
    <mergeCell ref="BT7:BX8"/>
    <mergeCell ref="BY7:CC8"/>
    <mergeCell ref="BO9:CC14"/>
    <mergeCell ref="AM8:AQ10"/>
    <mergeCell ref="AR8:AV10"/>
    <mergeCell ref="AW8:BA10"/>
    <mergeCell ref="BB8:BF10"/>
    <mergeCell ref="N11:R12"/>
    <mergeCell ref="S11:W12"/>
    <mergeCell ref="X11:AB12"/>
    <mergeCell ref="AC11:AG12"/>
    <mergeCell ref="AH11:AL12"/>
    <mergeCell ref="AM11:AQ12"/>
    <mergeCell ref="AR11:AV12"/>
    <mergeCell ref="AW11:BA12"/>
    <mergeCell ref="BB11:BF12"/>
    <mergeCell ref="BG5:BK6"/>
    <mergeCell ref="I7:M7"/>
    <mergeCell ref="N7:R7"/>
  </mergeCells>
  <phoneticPr fontId="1" type="noConversion"/>
  <pageMargins left="0.25" right="0.25" top="0.75" bottom="0.75" header="0.3" footer="0.3"/>
  <pageSetup paperSize="9" scale="57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64E49-AE5C-40DF-AB75-F684AB2B331A}">
  <sheetPr>
    <pageSetUpPr fitToPage="1"/>
  </sheetPr>
  <dimension ref="A1:AP57"/>
  <sheetViews>
    <sheetView workbookViewId="0">
      <selection activeCell="AA15" sqref="AA15:AO24"/>
    </sheetView>
  </sheetViews>
  <sheetFormatPr defaultColWidth="2.7109375" defaultRowHeight="15" x14ac:dyDescent="0.25"/>
  <cols>
    <col min="1" max="7" width="2.7109375" style="1"/>
    <col min="8" max="8" width="2.7109375" style="1" customWidth="1"/>
    <col min="9" max="16384" width="2.7109375" style="1"/>
  </cols>
  <sheetData>
    <row r="1" spans="5:41" x14ac:dyDescent="0.25">
      <c r="I1" s="7"/>
      <c r="J1" s="8"/>
      <c r="K1" s="8"/>
      <c r="L1" s="8"/>
      <c r="M1" s="8"/>
      <c r="N1" s="8"/>
      <c r="O1" s="49">
        <f>SUM(I4:W4)</f>
        <v>30</v>
      </c>
      <c r="P1" s="66"/>
      <c r="Q1" s="66"/>
      <c r="R1" s="8"/>
      <c r="S1" s="8"/>
      <c r="T1" s="8"/>
      <c r="U1" s="8"/>
      <c r="V1" s="8"/>
      <c r="W1" s="9"/>
    </row>
    <row r="2" spans="5:41" x14ac:dyDescent="0.25">
      <c r="I2" s="2"/>
      <c r="J2" s="3"/>
      <c r="K2" s="3"/>
      <c r="L2" s="3"/>
      <c r="M2" s="3"/>
      <c r="N2" s="3"/>
      <c r="O2" s="66"/>
      <c r="P2" s="66"/>
      <c r="Q2" s="66"/>
      <c r="R2" s="3"/>
      <c r="S2" s="3"/>
      <c r="T2" s="3"/>
      <c r="U2" s="3"/>
      <c r="V2" s="3"/>
      <c r="W2" s="4"/>
    </row>
    <row r="4" spans="5:41" x14ac:dyDescent="0.25">
      <c r="I4" s="82">
        <v>10</v>
      </c>
      <c r="J4" s="82"/>
      <c r="K4" s="82"/>
      <c r="L4" s="82"/>
      <c r="M4" s="82"/>
      <c r="N4" s="82">
        <v>10</v>
      </c>
      <c r="O4" s="82"/>
      <c r="P4" s="82"/>
      <c r="Q4" s="82"/>
      <c r="R4" s="82"/>
      <c r="S4" s="82">
        <v>10</v>
      </c>
      <c r="T4" s="82"/>
      <c r="U4" s="82"/>
      <c r="V4" s="82"/>
      <c r="W4" s="82"/>
      <c r="AA4" s="83" t="s">
        <v>0</v>
      </c>
      <c r="AB4" s="83"/>
      <c r="AC4" s="83"/>
      <c r="AD4" s="83"/>
      <c r="AE4" s="83"/>
      <c r="AF4" s="83" t="s">
        <v>1</v>
      </c>
      <c r="AG4" s="83"/>
      <c r="AH4" s="83"/>
      <c r="AI4" s="83"/>
      <c r="AJ4" s="83"/>
      <c r="AK4" s="83" t="s">
        <v>2</v>
      </c>
      <c r="AL4" s="83"/>
      <c r="AM4" s="83"/>
      <c r="AN4" s="83"/>
      <c r="AO4" s="83"/>
    </row>
    <row r="5" spans="5:41" x14ac:dyDescent="0.25">
      <c r="E5" s="4"/>
      <c r="F5" s="2"/>
      <c r="H5" s="59">
        <v>10</v>
      </c>
      <c r="I5" s="60">
        <f>100-0.85</f>
        <v>99.15</v>
      </c>
      <c r="J5" s="61"/>
      <c r="K5" s="61"/>
      <c r="L5" s="61"/>
      <c r="M5" s="62"/>
      <c r="N5" s="60">
        <f>100-0.95</f>
        <v>99.05</v>
      </c>
      <c r="O5" s="61"/>
      <c r="P5" s="61"/>
      <c r="Q5" s="61"/>
      <c r="R5" s="62"/>
      <c r="S5" s="60">
        <f>100-0.88</f>
        <v>99.12</v>
      </c>
      <c r="T5" s="61"/>
      <c r="U5" s="61"/>
      <c r="V5" s="61"/>
      <c r="W5" s="62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</row>
    <row r="6" spans="5:41" x14ac:dyDescent="0.25">
      <c r="E6" s="6"/>
      <c r="F6" s="5"/>
      <c r="H6" s="59"/>
      <c r="I6" s="63"/>
      <c r="J6" s="49"/>
      <c r="K6" s="49"/>
      <c r="L6" s="49"/>
      <c r="M6" s="64"/>
      <c r="N6" s="63"/>
      <c r="O6" s="49"/>
      <c r="P6" s="49"/>
      <c r="Q6" s="49"/>
      <c r="R6" s="64"/>
      <c r="S6" s="63"/>
      <c r="T6" s="49"/>
      <c r="U6" s="49"/>
      <c r="V6" s="49"/>
      <c r="W6" s="64"/>
      <c r="AA6" s="80" t="s">
        <v>28</v>
      </c>
      <c r="AB6" s="80"/>
      <c r="AC6" s="80"/>
      <c r="AD6" s="80"/>
      <c r="AE6" s="80"/>
      <c r="AF6" s="81">
        <f>SUM(I5+N5+S5+S10+S15+S20+S25+S30+S35+N35+I35+I30+I25+I20+I15+I10)/16</f>
        <v>99.059999999999988</v>
      </c>
      <c r="AG6" s="81"/>
      <c r="AH6" s="81"/>
      <c r="AI6" s="81"/>
      <c r="AJ6" s="81"/>
      <c r="AK6" s="81">
        <f>100-AF6</f>
        <v>0.94000000000001194</v>
      </c>
      <c r="AL6" s="81"/>
      <c r="AM6" s="81"/>
      <c r="AN6" s="81"/>
      <c r="AO6" s="81"/>
    </row>
    <row r="7" spans="5:41" x14ac:dyDescent="0.25">
      <c r="E7" s="6"/>
      <c r="F7" s="5"/>
      <c r="H7" s="59"/>
      <c r="I7" s="63"/>
      <c r="J7" s="49"/>
      <c r="K7" s="49"/>
      <c r="L7" s="49"/>
      <c r="M7" s="64"/>
      <c r="N7" s="63"/>
      <c r="O7" s="49"/>
      <c r="P7" s="49"/>
      <c r="Q7" s="49"/>
      <c r="R7" s="64"/>
      <c r="S7" s="63"/>
      <c r="T7" s="49"/>
      <c r="U7" s="49"/>
      <c r="V7" s="49"/>
      <c r="W7" s="64"/>
      <c r="AA7" s="80"/>
      <c r="AB7" s="80"/>
      <c r="AC7" s="80"/>
      <c r="AD7" s="80"/>
      <c r="AE7" s="80"/>
      <c r="AF7" s="81"/>
      <c r="AG7" s="81"/>
      <c r="AH7" s="81"/>
      <c r="AI7" s="81"/>
      <c r="AJ7" s="81"/>
      <c r="AK7" s="81"/>
      <c r="AL7" s="81"/>
      <c r="AM7" s="81"/>
      <c r="AN7" s="81"/>
      <c r="AO7" s="81"/>
    </row>
    <row r="8" spans="5:41" x14ac:dyDescent="0.25">
      <c r="E8" s="6"/>
      <c r="F8" s="5"/>
      <c r="H8" s="59"/>
      <c r="I8" s="65">
        <v>1</v>
      </c>
      <c r="J8" s="66"/>
      <c r="K8" s="66"/>
      <c r="L8" s="66"/>
      <c r="M8" s="67"/>
      <c r="N8" s="65">
        <v>2</v>
      </c>
      <c r="O8" s="66"/>
      <c r="P8" s="66"/>
      <c r="Q8" s="66"/>
      <c r="R8" s="67"/>
      <c r="S8" s="65">
        <v>3</v>
      </c>
      <c r="T8" s="66"/>
      <c r="U8" s="66"/>
      <c r="V8" s="66"/>
      <c r="W8" s="67"/>
      <c r="AA8" s="80" t="s">
        <v>29</v>
      </c>
      <c r="AB8" s="80"/>
      <c r="AC8" s="80"/>
      <c r="AD8" s="80"/>
      <c r="AE8" s="80"/>
      <c r="AF8" s="81">
        <f>SUM(N10+N15+N20+N25+N30)/5</f>
        <v>98.933600000000013</v>
      </c>
      <c r="AG8" s="81"/>
      <c r="AH8" s="81"/>
      <c r="AI8" s="81"/>
      <c r="AJ8" s="81"/>
      <c r="AK8" s="81">
        <f>100-AF8</f>
        <v>1.0663999999999874</v>
      </c>
      <c r="AL8" s="119"/>
      <c r="AM8" s="119"/>
      <c r="AN8" s="119"/>
      <c r="AO8" s="119"/>
    </row>
    <row r="9" spans="5:41" x14ac:dyDescent="0.25">
      <c r="E9" s="6"/>
      <c r="F9" s="5"/>
      <c r="H9" s="59"/>
      <c r="I9" s="68"/>
      <c r="J9" s="69"/>
      <c r="K9" s="69"/>
      <c r="L9" s="69"/>
      <c r="M9" s="70"/>
      <c r="N9" s="68"/>
      <c r="O9" s="69"/>
      <c r="P9" s="69"/>
      <c r="Q9" s="69"/>
      <c r="R9" s="70"/>
      <c r="S9" s="68"/>
      <c r="T9" s="69"/>
      <c r="U9" s="69"/>
      <c r="V9" s="69"/>
      <c r="W9" s="70"/>
      <c r="AA9" s="80"/>
      <c r="AB9" s="80"/>
      <c r="AC9" s="80"/>
      <c r="AD9" s="80"/>
      <c r="AE9" s="80"/>
      <c r="AF9" s="81"/>
      <c r="AG9" s="81"/>
      <c r="AH9" s="81"/>
      <c r="AI9" s="81"/>
      <c r="AJ9" s="81"/>
      <c r="AK9" s="119"/>
      <c r="AL9" s="119"/>
      <c r="AM9" s="119"/>
      <c r="AN9" s="119"/>
      <c r="AO9" s="119"/>
    </row>
    <row r="10" spans="5:41" ht="15" customHeight="1" x14ac:dyDescent="0.25">
      <c r="E10" s="6"/>
      <c r="F10" s="5"/>
      <c r="H10" s="59">
        <v>10</v>
      </c>
      <c r="I10" s="60">
        <f>100-0.9</f>
        <v>99.1</v>
      </c>
      <c r="J10" s="61"/>
      <c r="K10" s="61"/>
      <c r="L10" s="61"/>
      <c r="M10" s="62"/>
      <c r="N10" s="60">
        <f>SUM(I10+I5+N5+S5+S10)/5-0.1</f>
        <v>98.994000000000014</v>
      </c>
      <c r="O10" s="61"/>
      <c r="P10" s="61"/>
      <c r="Q10" s="61"/>
      <c r="R10" s="62"/>
      <c r="S10" s="60">
        <f>100-0.95</f>
        <v>99.05</v>
      </c>
      <c r="T10" s="61"/>
      <c r="U10" s="61"/>
      <c r="V10" s="61"/>
      <c r="W10" s="62"/>
      <c r="AA10" s="80"/>
      <c r="AB10" s="80"/>
      <c r="AC10" s="80"/>
      <c r="AD10" s="80"/>
      <c r="AE10" s="80"/>
      <c r="AF10" s="81"/>
      <c r="AG10" s="81"/>
      <c r="AH10" s="81"/>
      <c r="AI10" s="81"/>
      <c r="AJ10" s="81"/>
      <c r="AK10" s="81"/>
      <c r="AL10" s="119"/>
      <c r="AM10" s="119"/>
      <c r="AN10" s="119"/>
      <c r="AO10" s="119"/>
    </row>
    <row r="11" spans="5:41" x14ac:dyDescent="0.25">
      <c r="E11" s="6"/>
      <c r="F11" s="5"/>
      <c r="H11" s="59"/>
      <c r="I11" s="63"/>
      <c r="J11" s="49"/>
      <c r="K11" s="49"/>
      <c r="L11" s="49"/>
      <c r="M11" s="64"/>
      <c r="N11" s="63"/>
      <c r="O11" s="49"/>
      <c r="P11" s="49"/>
      <c r="Q11" s="49"/>
      <c r="R11" s="64"/>
      <c r="S11" s="63"/>
      <c r="T11" s="49"/>
      <c r="U11" s="49"/>
      <c r="V11" s="49"/>
      <c r="W11" s="64"/>
      <c r="AA11" s="80"/>
      <c r="AB11" s="80"/>
      <c r="AC11" s="80"/>
      <c r="AD11" s="80"/>
      <c r="AE11" s="80"/>
      <c r="AF11" s="81"/>
      <c r="AG11" s="81"/>
      <c r="AH11" s="81"/>
      <c r="AI11" s="81"/>
      <c r="AJ11" s="81"/>
      <c r="AK11" s="119"/>
      <c r="AL11" s="119"/>
      <c r="AM11" s="119"/>
      <c r="AN11" s="119"/>
      <c r="AO11" s="119"/>
    </row>
    <row r="12" spans="5:41" x14ac:dyDescent="0.25">
      <c r="E12" s="6"/>
      <c r="F12" s="5"/>
      <c r="H12" s="59"/>
      <c r="I12" s="63"/>
      <c r="J12" s="49"/>
      <c r="K12" s="49"/>
      <c r="L12" s="49"/>
      <c r="M12" s="64"/>
      <c r="N12" s="63"/>
      <c r="O12" s="49"/>
      <c r="P12" s="49"/>
      <c r="Q12" s="49"/>
      <c r="R12" s="64"/>
      <c r="S12" s="63"/>
      <c r="T12" s="49"/>
      <c r="U12" s="49"/>
      <c r="V12" s="49"/>
      <c r="W12" s="64"/>
      <c r="AA12" s="80"/>
      <c r="AB12" s="80"/>
      <c r="AC12" s="80"/>
      <c r="AD12" s="80"/>
      <c r="AE12" s="80"/>
      <c r="AF12" s="81"/>
      <c r="AG12" s="81"/>
      <c r="AH12" s="81"/>
      <c r="AI12" s="81"/>
      <c r="AJ12" s="81"/>
      <c r="AK12" s="81"/>
      <c r="AL12" s="119"/>
      <c r="AM12" s="119"/>
      <c r="AN12" s="119"/>
      <c r="AO12" s="119"/>
    </row>
    <row r="13" spans="5:41" x14ac:dyDescent="0.25">
      <c r="E13" s="6"/>
      <c r="F13" s="5"/>
      <c r="H13" s="59"/>
      <c r="I13" s="65">
        <v>16</v>
      </c>
      <c r="J13" s="66"/>
      <c r="K13" s="66"/>
      <c r="L13" s="66"/>
      <c r="M13" s="67"/>
      <c r="N13" s="65">
        <v>17</v>
      </c>
      <c r="O13" s="66"/>
      <c r="P13" s="66"/>
      <c r="Q13" s="66"/>
      <c r="R13" s="67"/>
      <c r="S13" s="65">
        <v>4</v>
      </c>
      <c r="T13" s="66"/>
      <c r="U13" s="66"/>
      <c r="V13" s="66"/>
      <c r="W13" s="67"/>
      <c r="AA13" s="80"/>
      <c r="AB13" s="80"/>
      <c r="AC13" s="80"/>
      <c r="AD13" s="80"/>
      <c r="AE13" s="80"/>
      <c r="AF13" s="81"/>
      <c r="AG13" s="81"/>
      <c r="AH13" s="81"/>
      <c r="AI13" s="81"/>
      <c r="AJ13" s="81"/>
      <c r="AK13" s="119"/>
      <c r="AL13" s="119"/>
      <c r="AM13" s="119"/>
      <c r="AN13" s="119"/>
      <c r="AO13" s="119"/>
    </row>
    <row r="14" spans="5:41" x14ac:dyDescent="0.25">
      <c r="E14" s="6"/>
      <c r="F14" s="5"/>
      <c r="H14" s="59"/>
      <c r="I14" s="68"/>
      <c r="J14" s="69"/>
      <c r="K14" s="69"/>
      <c r="L14" s="69"/>
      <c r="M14" s="70"/>
      <c r="N14" s="68"/>
      <c r="O14" s="69"/>
      <c r="P14" s="69"/>
      <c r="Q14" s="69"/>
      <c r="R14" s="70"/>
      <c r="S14" s="68"/>
      <c r="T14" s="69"/>
      <c r="U14" s="69"/>
      <c r="V14" s="69"/>
      <c r="W14" s="70"/>
      <c r="AA14" s="35"/>
      <c r="AB14" s="36"/>
      <c r="AC14" s="36"/>
      <c r="AD14" s="36"/>
      <c r="AE14" s="36"/>
      <c r="AF14" s="32"/>
      <c r="AG14" s="32"/>
      <c r="AH14" s="32"/>
      <c r="AI14" s="32"/>
      <c r="AJ14" s="32"/>
      <c r="AK14" s="3"/>
      <c r="AL14" s="3"/>
      <c r="AM14" s="3"/>
      <c r="AN14" s="3"/>
      <c r="AO14" s="4"/>
    </row>
    <row r="15" spans="5:41" x14ac:dyDescent="0.25">
      <c r="E15" s="6"/>
      <c r="F15" s="5"/>
      <c r="H15" s="59">
        <v>10</v>
      </c>
      <c r="I15" s="60">
        <f>100-0.95</f>
        <v>99.05</v>
      </c>
      <c r="J15" s="61"/>
      <c r="K15" s="61"/>
      <c r="L15" s="61"/>
      <c r="M15" s="62"/>
      <c r="N15" s="60">
        <f>SUM(I15+S15)/2-0.1</f>
        <v>98.860000000000014</v>
      </c>
      <c r="O15" s="61"/>
      <c r="P15" s="61"/>
      <c r="Q15" s="61"/>
      <c r="R15" s="62"/>
      <c r="S15" s="60">
        <f>100-1.13</f>
        <v>98.87</v>
      </c>
      <c r="T15" s="61"/>
      <c r="U15" s="61"/>
      <c r="V15" s="61"/>
      <c r="W15" s="62"/>
      <c r="AA15" s="115" t="s">
        <v>31</v>
      </c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3"/>
    </row>
    <row r="16" spans="5:41" x14ac:dyDescent="0.25">
      <c r="E16" s="6"/>
      <c r="F16" s="5"/>
      <c r="H16" s="59"/>
      <c r="I16" s="63"/>
      <c r="J16" s="49"/>
      <c r="K16" s="49"/>
      <c r="L16" s="49"/>
      <c r="M16" s="64"/>
      <c r="N16" s="63"/>
      <c r="O16" s="49"/>
      <c r="P16" s="49"/>
      <c r="Q16" s="49"/>
      <c r="R16" s="64"/>
      <c r="S16" s="63"/>
      <c r="T16" s="49"/>
      <c r="U16" s="49"/>
      <c r="V16" s="49"/>
      <c r="W16" s="64"/>
      <c r="AA16" s="74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6"/>
    </row>
    <row r="17" spans="4:41" x14ac:dyDescent="0.25">
      <c r="E17" s="6"/>
      <c r="F17" s="5"/>
      <c r="H17" s="59"/>
      <c r="I17" s="63"/>
      <c r="J17" s="49"/>
      <c r="K17" s="49"/>
      <c r="L17" s="49"/>
      <c r="M17" s="64"/>
      <c r="N17" s="63"/>
      <c r="O17" s="49"/>
      <c r="P17" s="49"/>
      <c r="Q17" s="49"/>
      <c r="R17" s="64"/>
      <c r="S17" s="63"/>
      <c r="T17" s="49"/>
      <c r="U17" s="49"/>
      <c r="V17" s="49"/>
      <c r="W17" s="64"/>
      <c r="AA17" s="74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6"/>
    </row>
    <row r="18" spans="4:41" x14ac:dyDescent="0.25">
      <c r="E18" s="6"/>
      <c r="F18" s="5"/>
      <c r="H18" s="59"/>
      <c r="I18" s="65">
        <v>15</v>
      </c>
      <c r="J18" s="66"/>
      <c r="K18" s="66"/>
      <c r="L18" s="66"/>
      <c r="M18" s="67"/>
      <c r="N18" s="65">
        <v>18</v>
      </c>
      <c r="O18" s="66"/>
      <c r="P18" s="66"/>
      <c r="Q18" s="66"/>
      <c r="R18" s="67"/>
      <c r="S18" s="65">
        <v>5</v>
      </c>
      <c r="T18" s="66"/>
      <c r="U18" s="66"/>
      <c r="V18" s="66"/>
      <c r="W18" s="67"/>
      <c r="AA18" s="74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6"/>
    </row>
    <row r="19" spans="4:41" x14ac:dyDescent="0.25">
      <c r="E19" s="6"/>
      <c r="F19" s="5"/>
      <c r="H19" s="59"/>
      <c r="I19" s="68"/>
      <c r="J19" s="69"/>
      <c r="K19" s="69"/>
      <c r="L19" s="69"/>
      <c r="M19" s="70"/>
      <c r="N19" s="68"/>
      <c r="O19" s="69"/>
      <c r="P19" s="69"/>
      <c r="Q19" s="69"/>
      <c r="R19" s="70"/>
      <c r="S19" s="68"/>
      <c r="T19" s="69"/>
      <c r="U19" s="69"/>
      <c r="V19" s="69"/>
      <c r="W19" s="70"/>
      <c r="AA19" s="74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6"/>
    </row>
    <row r="20" spans="4:41" x14ac:dyDescent="0.25">
      <c r="E20" s="6"/>
      <c r="F20" s="5"/>
      <c r="H20" s="59">
        <v>10</v>
      </c>
      <c r="I20" s="60">
        <f>100-1.05</f>
        <v>98.95</v>
      </c>
      <c r="J20" s="61"/>
      <c r="K20" s="61"/>
      <c r="L20" s="61"/>
      <c r="M20" s="62"/>
      <c r="N20" s="60">
        <f>SUM(I20+S20)/2-0.1</f>
        <v>98.875</v>
      </c>
      <c r="O20" s="61"/>
      <c r="P20" s="61"/>
      <c r="Q20" s="61"/>
      <c r="R20" s="62"/>
      <c r="S20" s="60">
        <f>100-1</f>
        <v>99</v>
      </c>
      <c r="T20" s="61"/>
      <c r="U20" s="61"/>
      <c r="V20" s="61"/>
      <c r="W20" s="62"/>
      <c r="AA20" s="74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6"/>
    </row>
    <row r="21" spans="4:41" x14ac:dyDescent="0.25">
      <c r="E21" s="6"/>
      <c r="F21" s="5"/>
      <c r="H21" s="59"/>
      <c r="I21" s="63"/>
      <c r="J21" s="49"/>
      <c r="K21" s="49"/>
      <c r="L21" s="49"/>
      <c r="M21" s="64"/>
      <c r="N21" s="63"/>
      <c r="O21" s="49"/>
      <c r="P21" s="49"/>
      <c r="Q21" s="49"/>
      <c r="R21" s="64"/>
      <c r="S21" s="63"/>
      <c r="T21" s="49"/>
      <c r="U21" s="49"/>
      <c r="V21" s="49"/>
      <c r="W21" s="64"/>
      <c r="AA21" s="74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6"/>
    </row>
    <row r="22" spans="4:41" x14ac:dyDescent="0.25">
      <c r="D22" s="49">
        <f>SUM(H3:H37)</f>
        <v>70</v>
      </c>
      <c r="E22" s="49"/>
      <c r="F22" s="49"/>
      <c r="G22" s="49"/>
      <c r="H22" s="59"/>
      <c r="I22" s="63"/>
      <c r="J22" s="49"/>
      <c r="K22" s="49"/>
      <c r="L22" s="49"/>
      <c r="M22" s="64"/>
      <c r="N22" s="63"/>
      <c r="O22" s="49"/>
      <c r="P22" s="49"/>
      <c r="Q22" s="49"/>
      <c r="R22" s="64"/>
      <c r="S22" s="63"/>
      <c r="T22" s="49"/>
      <c r="U22" s="49"/>
      <c r="V22" s="49"/>
      <c r="W22" s="64"/>
      <c r="AA22" s="74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6"/>
    </row>
    <row r="23" spans="4:41" x14ac:dyDescent="0.25">
      <c r="D23" s="49"/>
      <c r="E23" s="49"/>
      <c r="F23" s="49"/>
      <c r="G23" s="49"/>
      <c r="H23" s="59"/>
      <c r="I23" s="65">
        <v>14</v>
      </c>
      <c r="J23" s="66"/>
      <c r="K23" s="66"/>
      <c r="L23" s="66"/>
      <c r="M23" s="67"/>
      <c r="N23" s="65">
        <v>19</v>
      </c>
      <c r="O23" s="66"/>
      <c r="P23" s="66"/>
      <c r="Q23" s="66"/>
      <c r="R23" s="67"/>
      <c r="S23" s="65">
        <v>6</v>
      </c>
      <c r="T23" s="66"/>
      <c r="U23" s="66"/>
      <c r="V23" s="66"/>
      <c r="W23" s="67"/>
      <c r="AA23" s="74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6"/>
    </row>
    <row r="24" spans="4:41" x14ac:dyDescent="0.25">
      <c r="D24" s="10"/>
      <c r="E24" s="6"/>
      <c r="F24" s="5"/>
      <c r="G24" s="12"/>
      <c r="H24" s="59"/>
      <c r="I24" s="68"/>
      <c r="J24" s="69"/>
      <c r="K24" s="69"/>
      <c r="L24" s="69"/>
      <c r="M24" s="70"/>
      <c r="N24" s="68"/>
      <c r="O24" s="69"/>
      <c r="P24" s="69"/>
      <c r="Q24" s="69"/>
      <c r="R24" s="70"/>
      <c r="S24" s="68"/>
      <c r="T24" s="69"/>
      <c r="U24" s="69"/>
      <c r="V24" s="69"/>
      <c r="W24" s="70"/>
      <c r="AA24" s="77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8"/>
      <c r="AM24" s="78"/>
      <c r="AN24" s="78"/>
      <c r="AO24" s="79"/>
    </row>
    <row r="25" spans="4:41" ht="15" customHeight="1" x14ac:dyDescent="0.25">
      <c r="D25" s="10"/>
      <c r="E25" s="6"/>
      <c r="F25" s="5"/>
      <c r="G25" s="12"/>
      <c r="H25" s="59">
        <v>10</v>
      </c>
      <c r="I25" s="60">
        <f>100-1</f>
        <v>99</v>
      </c>
      <c r="J25" s="61"/>
      <c r="K25" s="61"/>
      <c r="L25" s="61"/>
      <c r="M25" s="62"/>
      <c r="N25" s="60">
        <f>SUM(I25+S25)/2-0.1</f>
        <v>98.925000000000011</v>
      </c>
      <c r="O25" s="61"/>
      <c r="P25" s="61"/>
      <c r="Q25" s="61"/>
      <c r="R25" s="62"/>
      <c r="S25" s="60">
        <f>100-0.95</f>
        <v>99.05</v>
      </c>
      <c r="T25" s="61"/>
      <c r="U25" s="61"/>
      <c r="V25" s="61"/>
      <c r="W25" s="62"/>
      <c r="AA25" s="120"/>
      <c r="AB25" s="121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2"/>
    </row>
    <row r="26" spans="4:41" x14ac:dyDescent="0.25">
      <c r="D26" s="10"/>
      <c r="E26" s="6"/>
      <c r="F26" s="5"/>
      <c r="G26" s="12"/>
      <c r="H26" s="59"/>
      <c r="I26" s="63"/>
      <c r="J26" s="49"/>
      <c r="K26" s="49"/>
      <c r="L26" s="49"/>
      <c r="M26" s="64"/>
      <c r="N26" s="63"/>
      <c r="O26" s="49"/>
      <c r="P26" s="49"/>
      <c r="Q26" s="49"/>
      <c r="R26" s="64"/>
      <c r="S26" s="63"/>
      <c r="T26" s="49"/>
      <c r="U26" s="49"/>
      <c r="V26" s="49"/>
      <c r="W26" s="64"/>
      <c r="AA26" s="123"/>
      <c r="AB26" s="124"/>
      <c r="AC26" s="124"/>
      <c r="AD26" s="124"/>
      <c r="AE26" s="124"/>
      <c r="AF26" s="124"/>
      <c r="AG26" s="124"/>
      <c r="AH26" s="124"/>
      <c r="AI26" s="124"/>
      <c r="AJ26" s="124"/>
      <c r="AK26" s="124"/>
      <c r="AL26" s="124"/>
      <c r="AM26" s="124"/>
      <c r="AN26" s="124"/>
      <c r="AO26" s="125"/>
    </row>
    <row r="27" spans="4:41" x14ac:dyDescent="0.25">
      <c r="D27" s="10"/>
      <c r="E27" s="6"/>
      <c r="F27" s="5"/>
      <c r="G27" s="12"/>
      <c r="H27" s="59"/>
      <c r="I27" s="63"/>
      <c r="J27" s="49"/>
      <c r="K27" s="49"/>
      <c r="L27" s="49"/>
      <c r="M27" s="64"/>
      <c r="N27" s="63"/>
      <c r="O27" s="49"/>
      <c r="P27" s="49"/>
      <c r="Q27" s="49"/>
      <c r="R27" s="64"/>
      <c r="S27" s="63"/>
      <c r="T27" s="49"/>
      <c r="U27" s="49"/>
      <c r="V27" s="49"/>
      <c r="W27" s="64"/>
      <c r="AA27" s="123"/>
      <c r="AB27" s="124"/>
      <c r="AC27" s="124"/>
      <c r="AD27" s="124"/>
      <c r="AE27" s="124"/>
      <c r="AF27" s="124"/>
      <c r="AG27" s="124"/>
      <c r="AH27" s="124"/>
      <c r="AI27" s="124"/>
      <c r="AJ27" s="124"/>
      <c r="AK27" s="124"/>
      <c r="AL27" s="124"/>
      <c r="AM27" s="124"/>
      <c r="AN27" s="124"/>
      <c r="AO27" s="125"/>
    </row>
    <row r="28" spans="4:41" x14ac:dyDescent="0.25">
      <c r="D28" s="10"/>
      <c r="E28" s="6"/>
      <c r="F28" s="5"/>
      <c r="G28" s="12"/>
      <c r="H28" s="59"/>
      <c r="I28" s="65">
        <v>13</v>
      </c>
      <c r="J28" s="66"/>
      <c r="K28" s="66"/>
      <c r="L28" s="66"/>
      <c r="M28" s="67"/>
      <c r="N28" s="65">
        <v>20</v>
      </c>
      <c r="O28" s="66"/>
      <c r="P28" s="66"/>
      <c r="Q28" s="66"/>
      <c r="R28" s="67"/>
      <c r="S28" s="65">
        <v>7</v>
      </c>
      <c r="T28" s="66"/>
      <c r="U28" s="66"/>
      <c r="V28" s="66"/>
      <c r="W28" s="67"/>
      <c r="AA28" s="123"/>
      <c r="AB28" s="124"/>
      <c r="AC28" s="124"/>
      <c r="AD28" s="124"/>
      <c r="AE28" s="124"/>
      <c r="AF28" s="124"/>
      <c r="AG28" s="124"/>
      <c r="AH28" s="124"/>
      <c r="AI28" s="124"/>
      <c r="AJ28" s="124"/>
      <c r="AK28" s="124"/>
      <c r="AL28" s="124"/>
      <c r="AM28" s="124"/>
      <c r="AN28" s="124"/>
      <c r="AO28" s="125"/>
    </row>
    <row r="29" spans="4:41" x14ac:dyDescent="0.25">
      <c r="D29" s="10"/>
      <c r="E29" s="6"/>
      <c r="F29" s="5"/>
      <c r="G29" s="12"/>
      <c r="H29" s="59"/>
      <c r="I29" s="68"/>
      <c r="J29" s="69"/>
      <c r="K29" s="69"/>
      <c r="L29" s="69"/>
      <c r="M29" s="70"/>
      <c r="N29" s="68"/>
      <c r="O29" s="69"/>
      <c r="P29" s="69"/>
      <c r="Q29" s="69"/>
      <c r="R29" s="70"/>
      <c r="S29" s="68"/>
      <c r="T29" s="69"/>
      <c r="U29" s="69"/>
      <c r="V29" s="69"/>
      <c r="W29" s="70"/>
      <c r="AA29" s="123"/>
      <c r="AB29" s="124"/>
      <c r="AC29" s="124"/>
      <c r="AD29" s="124"/>
      <c r="AE29" s="124"/>
      <c r="AF29" s="124"/>
      <c r="AG29" s="124"/>
      <c r="AH29" s="124"/>
      <c r="AI29" s="124"/>
      <c r="AJ29" s="124"/>
      <c r="AK29" s="124"/>
      <c r="AL29" s="124"/>
      <c r="AM29" s="124"/>
      <c r="AN29" s="124"/>
      <c r="AO29" s="125"/>
    </row>
    <row r="30" spans="4:41" x14ac:dyDescent="0.25">
      <c r="E30" s="6"/>
      <c r="F30" s="5"/>
      <c r="H30" s="59">
        <v>10</v>
      </c>
      <c r="I30" s="60">
        <f>100-0.93</f>
        <v>99.07</v>
      </c>
      <c r="J30" s="61"/>
      <c r="K30" s="61"/>
      <c r="L30" s="61"/>
      <c r="M30" s="62"/>
      <c r="N30" s="60">
        <f>SUM(I30+I35+N35+S35+S30)/5-0.1</f>
        <v>99.013999999999996</v>
      </c>
      <c r="O30" s="61"/>
      <c r="P30" s="61"/>
      <c r="Q30" s="61"/>
      <c r="R30" s="62"/>
      <c r="S30" s="60">
        <f>100-0.8</f>
        <v>99.2</v>
      </c>
      <c r="T30" s="61"/>
      <c r="U30" s="61"/>
      <c r="V30" s="61"/>
      <c r="W30" s="62"/>
      <c r="AA30" s="126"/>
      <c r="AB30" s="127"/>
      <c r="AC30" s="127"/>
      <c r="AD30" s="127"/>
      <c r="AE30" s="127"/>
      <c r="AF30" s="127"/>
      <c r="AG30" s="127"/>
      <c r="AH30" s="127"/>
      <c r="AI30" s="127"/>
      <c r="AJ30" s="127"/>
      <c r="AK30" s="127"/>
      <c r="AL30" s="127"/>
      <c r="AM30" s="127"/>
      <c r="AN30" s="127"/>
      <c r="AO30" s="128"/>
    </row>
    <row r="31" spans="4:41" x14ac:dyDescent="0.25">
      <c r="E31" s="6"/>
      <c r="F31" s="5"/>
      <c r="H31" s="59"/>
      <c r="I31" s="63"/>
      <c r="J31" s="49"/>
      <c r="K31" s="49"/>
      <c r="L31" s="49"/>
      <c r="M31" s="64"/>
      <c r="N31" s="63"/>
      <c r="O31" s="49"/>
      <c r="P31" s="49"/>
      <c r="Q31" s="49"/>
      <c r="R31" s="64"/>
      <c r="S31" s="63"/>
      <c r="T31" s="49"/>
      <c r="U31" s="49"/>
      <c r="V31" s="49"/>
      <c r="W31" s="64"/>
      <c r="AA31" s="50" t="s">
        <v>30</v>
      </c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2"/>
    </row>
    <row r="32" spans="4:41" x14ac:dyDescent="0.25">
      <c r="E32" s="6"/>
      <c r="F32" s="5"/>
      <c r="H32" s="59"/>
      <c r="I32" s="63"/>
      <c r="J32" s="49"/>
      <c r="K32" s="49"/>
      <c r="L32" s="49"/>
      <c r="M32" s="64"/>
      <c r="N32" s="63"/>
      <c r="O32" s="49"/>
      <c r="P32" s="49"/>
      <c r="Q32" s="49"/>
      <c r="R32" s="64"/>
      <c r="S32" s="63"/>
      <c r="T32" s="49"/>
      <c r="U32" s="49"/>
      <c r="V32" s="49"/>
      <c r="W32" s="64"/>
      <c r="AA32" s="53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5"/>
    </row>
    <row r="33" spans="1:42" x14ac:dyDescent="0.25">
      <c r="E33" s="6"/>
      <c r="F33" s="5"/>
      <c r="H33" s="59"/>
      <c r="I33" s="65">
        <v>12</v>
      </c>
      <c r="J33" s="66"/>
      <c r="K33" s="66"/>
      <c r="L33" s="66"/>
      <c r="M33" s="67"/>
      <c r="N33" s="65">
        <v>21</v>
      </c>
      <c r="O33" s="66"/>
      <c r="P33" s="66"/>
      <c r="Q33" s="66"/>
      <c r="R33" s="67"/>
      <c r="S33" s="65">
        <v>8</v>
      </c>
      <c r="T33" s="66"/>
      <c r="U33" s="66"/>
      <c r="V33" s="66"/>
      <c r="W33" s="67"/>
      <c r="AA33" s="50" t="s">
        <v>6</v>
      </c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2"/>
    </row>
    <row r="34" spans="1:42" x14ac:dyDescent="0.25">
      <c r="E34" s="6"/>
      <c r="F34" s="5"/>
      <c r="H34" s="59"/>
      <c r="I34" s="68"/>
      <c r="J34" s="69"/>
      <c r="K34" s="69"/>
      <c r="L34" s="69"/>
      <c r="M34" s="70"/>
      <c r="N34" s="68"/>
      <c r="O34" s="69"/>
      <c r="P34" s="69"/>
      <c r="Q34" s="69"/>
      <c r="R34" s="70"/>
      <c r="S34" s="68"/>
      <c r="T34" s="69"/>
      <c r="U34" s="69"/>
      <c r="V34" s="69"/>
      <c r="W34" s="70"/>
      <c r="AA34" s="53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5"/>
    </row>
    <row r="35" spans="1:42" x14ac:dyDescent="0.25">
      <c r="E35" s="6"/>
      <c r="F35" s="5"/>
      <c r="H35" s="59">
        <v>10</v>
      </c>
      <c r="I35" s="60">
        <f>100-0.98</f>
        <v>99.02</v>
      </c>
      <c r="J35" s="61"/>
      <c r="K35" s="61"/>
      <c r="L35" s="61"/>
      <c r="M35" s="62"/>
      <c r="N35" s="60">
        <f>100-0.86</f>
        <v>99.14</v>
      </c>
      <c r="O35" s="61"/>
      <c r="P35" s="61"/>
      <c r="Q35" s="61"/>
      <c r="R35" s="62"/>
      <c r="S35" s="60">
        <f>100-0.86</f>
        <v>99.14</v>
      </c>
      <c r="T35" s="61"/>
      <c r="U35" s="61"/>
      <c r="V35" s="61"/>
      <c r="W35" s="62"/>
      <c r="AA35" s="50" t="s">
        <v>7</v>
      </c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2"/>
    </row>
    <row r="36" spans="1:42" x14ac:dyDescent="0.25">
      <c r="E36" s="6"/>
      <c r="F36" s="5"/>
      <c r="H36" s="59"/>
      <c r="I36" s="63"/>
      <c r="J36" s="49"/>
      <c r="K36" s="49"/>
      <c r="L36" s="49"/>
      <c r="M36" s="64"/>
      <c r="N36" s="63"/>
      <c r="O36" s="49"/>
      <c r="P36" s="49"/>
      <c r="Q36" s="49"/>
      <c r="R36" s="64"/>
      <c r="S36" s="63"/>
      <c r="T36" s="49"/>
      <c r="U36" s="49"/>
      <c r="V36" s="49"/>
      <c r="W36" s="64"/>
      <c r="AA36" s="53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5"/>
    </row>
    <row r="37" spans="1:42" x14ac:dyDescent="0.25">
      <c r="E37" s="6"/>
      <c r="F37" s="5"/>
      <c r="H37" s="59"/>
      <c r="I37" s="63"/>
      <c r="J37" s="49"/>
      <c r="K37" s="49"/>
      <c r="L37" s="49"/>
      <c r="M37" s="64"/>
      <c r="N37" s="63"/>
      <c r="O37" s="49"/>
      <c r="P37" s="49"/>
      <c r="Q37" s="49"/>
      <c r="R37" s="64"/>
      <c r="S37" s="63"/>
      <c r="T37" s="49"/>
      <c r="U37" s="49"/>
      <c r="V37" s="49"/>
      <c r="W37" s="64"/>
      <c r="AA37" s="50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2"/>
    </row>
    <row r="38" spans="1:42" x14ac:dyDescent="0.25">
      <c r="E38" s="6"/>
      <c r="F38" s="5"/>
      <c r="H38" s="59"/>
      <c r="I38" s="65">
        <v>11</v>
      </c>
      <c r="J38" s="66"/>
      <c r="K38" s="66"/>
      <c r="L38" s="66"/>
      <c r="M38" s="67"/>
      <c r="N38" s="65">
        <v>10</v>
      </c>
      <c r="O38" s="66"/>
      <c r="P38" s="66"/>
      <c r="Q38" s="66"/>
      <c r="R38" s="67"/>
      <c r="S38" s="65">
        <v>9</v>
      </c>
      <c r="T38" s="66"/>
      <c r="U38" s="66"/>
      <c r="V38" s="66"/>
      <c r="W38" s="67"/>
      <c r="AA38" s="53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5"/>
    </row>
    <row r="39" spans="1:42" x14ac:dyDescent="0.25">
      <c r="E39" s="9"/>
      <c r="F39" s="7"/>
      <c r="H39" s="59"/>
      <c r="I39" s="68"/>
      <c r="J39" s="69"/>
      <c r="K39" s="69"/>
      <c r="L39" s="69"/>
      <c r="M39" s="70"/>
      <c r="N39" s="68"/>
      <c r="O39" s="69"/>
      <c r="P39" s="69"/>
      <c r="Q39" s="69"/>
      <c r="R39" s="70"/>
      <c r="S39" s="68"/>
      <c r="T39" s="69"/>
      <c r="U39" s="69"/>
      <c r="V39" s="69"/>
      <c r="W39" s="70"/>
    </row>
    <row r="42" spans="1:42" x14ac:dyDescent="0.25">
      <c r="G42" s="7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49">
        <f>O1</f>
        <v>30</v>
      </c>
      <c r="U42" s="66"/>
      <c r="V42" s="66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9"/>
    </row>
    <row r="43" spans="1:42" x14ac:dyDescent="0.25">
      <c r="A43" s="12"/>
      <c r="B43" s="12"/>
      <c r="C43" s="12"/>
      <c r="D43" s="12"/>
      <c r="E43" s="12"/>
      <c r="F43" s="12"/>
      <c r="G43" s="18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66"/>
      <c r="U43" s="66"/>
      <c r="V43" s="66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31"/>
      <c r="AH43" s="12"/>
      <c r="AI43" s="12"/>
      <c r="AJ43" s="12"/>
      <c r="AK43" s="12"/>
      <c r="AL43" s="12"/>
      <c r="AM43" s="12"/>
      <c r="AN43" s="12"/>
      <c r="AO43" s="12"/>
      <c r="AP43" s="12"/>
    </row>
    <row r="44" spans="1:42" x14ac:dyDescent="0.25">
      <c r="A44" s="112" t="s">
        <v>9</v>
      </c>
      <c r="B44" s="112"/>
      <c r="C44" s="112"/>
      <c r="D44" s="24"/>
      <c r="E44" s="28"/>
      <c r="F44" s="25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4"/>
      <c r="AI44" s="28"/>
      <c r="AJ44" s="25"/>
      <c r="AK44" s="12"/>
      <c r="AL44" s="12"/>
      <c r="AM44" s="26"/>
      <c r="AN44" s="26"/>
      <c r="AO44" s="26"/>
      <c r="AP44" s="12"/>
    </row>
    <row r="45" spans="1:42" x14ac:dyDescent="0.25">
      <c r="A45" s="113" t="s">
        <v>10</v>
      </c>
      <c r="B45" s="113"/>
      <c r="C45" s="113"/>
      <c r="D45" s="27"/>
      <c r="E45" s="27"/>
      <c r="F45" s="29"/>
      <c r="G45" s="11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3"/>
      <c r="AH45" s="12"/>
      <c r="AI45" s="12"/>
      <c r="AJ45" s="12"/>
      <c r="AK45" s="31"/>
      <c r="AL45" s="18"/>
      <c r="AM45" s="12"/>
      <c r="AN45" s="12"/>
      <c r="AO45" s="12"/>
      <c r="AP45" s="12"/>
    </row>
    <row r="46" spans="1:42" x14ac:dyDescent="0.25">
      <c r="A46" s="114"/>
      <c r="B46" s="114"/>
      <c r="C46" s="114"/>
      <c r="D46" s="23"/>
      <c r="E46" s="23"/>
      <c r="F46" s="30"/>
      <c r="G46" s="14"/>
      <c r="H46" s="15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5"/>
      <c r="AG46" s="16"/>
      <c r="AH46" s="12"/>
      <c r="AI46" s="12"/>
      <c r="AJ46" s="66">
        <v>2</v>
      </c>
      <c r="AK46" s="66"/>
      <c r="AL46" s="66"/>
      <c r="AM46" s="66"/>
      <c r="AN46" s="12"/>
      <c r="AO46" s="12"/>
      <c r="AP46" s="12"/>
    </row>
    <row r="47" spans="1:42" x14ac:dyDescent="0.25">
      <c r="A47" s="66" t="s">
        <v>11</v>
      </c>
      <c r="B47" s="66"/>
      <c r="C47" s="66"/>
      <c r="D47" s="12"/>
      <c r="E47" s="12"/>
      <c r="F47" s="12"/>
      <c r="G47" s="12"/>
      <c r="H47" s="13"/>
      <c r="I47" s="11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3"/>
      <c r="AF47" s="12"/>
      <c r="AG47" s="12"/>
      <c r="AH47" s="12"/>
      <c r="AI47" s="12"/>
      <c r="AJ47" s="66"/>
      <c r="AK47" s="66"/>
      <c r="AL47" s="66"/>
      <c r="AM47" s="66"/>
      <c r="AN47" s="12"/>
      <c r="AO47" s="12"/>
      <c r="AP47" s="12"/>
    </row>
    <row r="48" spans="1:42" x14ac:dyDescent="0.25">
      <c r="A48" s="114"/>
      <c r="B48" s="114"/>
      <c r="C48" s="114"/>
      <c r="D48" s="23"/>
      <c r="E48" s="23"/>
      <c r="F48" s="23"/>
      <c r="G48" s="23"/>
      <c r="H48" s="30"/>
      <c r="I48" s="14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6"/>
      <c r="AF48" s="12"/>
      <c r="AG48" s="12"/>
      <c r="AH48" s="12"/>
      <c r="AI48" s="12"/>
      <c r="AJ48" s="10"/>
      <c r="AK48" s="16"/>
      <c r="AL48" s="14"/>
      <c r="AM48" s="10"/>
      <c r="AN48" s="12"/>
      <c r="AO48" s="12"/>
      <c r="AP48" s="12"/>
    </row>
    <row r="49" spans="1:42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</row>
    <row r="50" spans="1:42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4"/>
      <c r="L50" s="15"/>
      <c r="M50" s="15"/>
      <c r="N50" s="15"/>
      <c r="O50" s="15"/>
      <c r="P50" s="15"/>
      <c r="Q50" s="15"/>
      <c r="R50" s="15"/>
      <c r="S50" s="15"/>
      <c r="T50" s="49">
        <f>T42-2</f>
        <v>28</v>
      </c>
      <c r="U50" s="66"/>
      <c r="V50" s="66"/>
      <c r="W50" s="15"/>
      <c r="X50" s="15"/>
      <c r="Y50" s="15"/>
      <c r="Z50" s="15"/>
      <c r="AA50" s="15"/>
      <c r="AB50" s="15"/>
      <c r="AC50" s="16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</row>
    <row r="51" spans="1:42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8"/>
      <c r="L51" s="19"/>
      <c r="M51" s="19"/>
      <c r="N51" s="19"/>
      <c r="O51" s="19"/>
      <c r="P51" s="19"/>
      <c r="Q51" s="19"/>
      <c r="R51" s="19"/>
      <c r="S51" s="19"/>
      <c r="T51" s="66"/>
      <c r="U51" s="66"/>
      <c r="V51" s="66"/>
      <c r="W51" s="19"/>
      <c r="X51" s="19"/>
      <c r="Y51" s="19"/>
      <c r="Z51" s="19"/>
      <c r="AA51" s="19"/>
      <c r="AB51" s="19"/>
      <c r="AC51" s="31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</row>
    <row r="52" spans="1:42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</row>
    <row r="53" spans="1:42" x14ac:dyDescent="0.25">
      <c r="A53" s="48" t="s">
        <v>13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</row>
    <row r="54" spans="1:42" x14ac:dyDescent="0.25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</row>
    <row r="55" spans="1:42" x14ac:dyDescent="0.25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</row>
    <row r="56" spans="1:42" x14ac:dyDescent="0.25"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</row>
    <row r="57" spans="1:42" x14ac:dyDescent="0.25"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</row>
  </sheetData>
  <mergeCells count="82">
    <mergeCell ref="AJ46:AM47"/>
    <mergeCell ref="H10:H14"/>
    <mergeCell ref="H25:H29"/>
    <mergeCell ref="AA10:AE11"/>
    <mergeCell ref="AF10:AJ11"/>
    <mergeCell ref="AK10:AO11"/>
    <mergeCell ref="AA12:AE13"/>
    <mergeCell ref="AF12:AJ13"/>
    <mergeCell ref="AK12:AO13"/>
    <mergeCell ref="AA25:AO30"/>
    <mergeCell ref="S25:W27"/>
    <mergeCell ref="S28:W29"/>
    <mergeCell ref="I10:M12"/>
    <mergeCell ref="I13:M14"/>
    <mergeCell ref="I25:M27"/>
    <mergeCell ref="I28:M29"/>
    <mergeCell ref="N13:R14"/>
    <mergeCell ref="N25:R27"/>
    <mergeCell ref="N28:R29"/>
    <mergeCell ref="T50:V51"/>
    <mergeCell ref="S30:W32"/>
    <mergeCell ref="A53:AO55"/>
    <mergeCell ref="D22:G23"/>
    <mergeCell ref="O1:Q2"/>
    <mergeCell ref="A44:C44"/>
    <mergeCell ref="A45:C46"/>
    <mergeCell ref="A47:C48"/>
    <mergeCell ref="S38:W39"/>
    <mergeCell ref="T42:V43"/>
    <mergeCell ref="AA35:AO36"/>
    <mergeCell ref="AA37:AO38"/>
    <mergeCell ref="I38:M39"/>
    <mergeCell ref="N38:R39"/>
    <mergeCell ref="S35:W37"/>
    <mergeCell ref="S33:W34"/>
    <mergeCell ref="AA33:AO34"/>
    <mergeCell ref="H35:H39"/>
    <mergeCell ref="I35:M37"/>
    <mergeCell ref="N35:R37"/>
    <mergeCell ref="H30:H34"/>
    <mergeCell ref="I30:M32"/>
    <mergeCell ref="N30:R32"/>
    <mergeCell ref="I33:M34"/>
    <mergeCell ref="N33:R34"/>
    <mergeCell ref="AA31:AO32"/>
    <mergeCell ref="S10:W12"/>
    <mergeCell ref="S13:W14"/>
    <mergeCell ref="H20:H24"/>
    <mergeCell ref="I20:M22"/>
    <mergeCell ref="N20:R22"/>
    <mergeCell ref="AA15:AO24"/>
    <mergeCell ref="I18:M19"/>
    <mergeCell ref="N18:R19"/>
    <mergeCell ref="S15:W17"/>
    <mergeCell ref="S23:W24"/>
    <mergeCell ref="I23:M24"/>
    <mergeCell ref="N23:R24"/>
    <mergeCell ref="S20:W22"/>
    <mergeCell ref="S18:W19"/>
    <mergeCell ref="N10:R12"/>
    <mergeCell ref="AK8:AO9"/>
    <mergeCell ref="H15:H19"/>
    <mergeCell ref="I15:M17"/>
    <mergeCell ref="N15:R17"/>
    <mergeCell ref="S8:W9"/>
    <mergeCell ref="H5:H9"/>
    <mergeCell ref="S5:W7"/>
    <mergeCell ref="AA6:AE7"/>
    <mergeCell ref="AF6:AJ7"/>
    <mergeCell ref="AK6:AO7"/>
    <mergeCell ref="I8:M9"/>
    <mergeCell ref="N8:R9"/>
    <mergeCell ref="AF4:AJ5"/>
    <mergeCell ref="AK4:AO5"/>
    <mergeCell ref="I5:M7"/>
    <mergeCell ref="N5:R7"/>
    <mergeCell ref="AF8:AJ9"/>
    <mergeCell ref="S4:W4"/>
    <mergeCell ref="AA4:AE5"/>
    <mergeCell ref="I4:M4"/>
    <mergeCell ref="N4:R4"/>
    <mergeCell ref="AA8:AE9"/>
  </mergeCells>
  <phoneticPr fontId="1" type="noConversion"/>
  <pageMargins left="0.25" right="0.25" top="0.75" bottom="0.75" header="0.3" footer="0.3"/>
  <pageSetup paperSize="9" scale="88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60944-0F5B-465E-A60F-94505C585B28}">
  <sheetPr>
    <pageSetUpPr fitToPage="1"/>
  </sheetPr>
  <dimension ref="A1:CH58"/>
  <sheetViews>
    <sheetView workbookViewId="0">
      <selection activeCell="BL57" sqref="BL57"/>
    </sheetView>
  </sheetViews>
  <sheetFormatPr defaultColWidth="2.7109375" defaultRowHeight="15" x14ac:dyDescent="0.25"/>
  <cols>
    <col min="1" max="7" width="2.7109375" style="1"/>
    <col min="8" max="8" width="2.7109375" style="1" customWidth="1"/>
    <col min="9" max="16384" width="2.7109375" style="1"/>
  </cols>
  <sheetData>
    <row r="1" spans="5:86" x14ac:dyDescent="0.25">
      <c r="I1" s="7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49">
        <f>SUM(I4:BP4)</f>
        <v>120</v>
      </c>
      <c r="AN1" s="66"/>
      <c r="AO1" s="66"/>
      <c r="AP1" s="66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9"/>
    </row>
    <row r="2" spans="5:86" x14ac:dyDescent="0.25"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66"/>
      <c r="AN2" s="66"/>
      <c r="AO2" s="66"/>
      <c r="AP2" s="66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4"/>
    </row>
    <row r="4" spans="5:86" x14ac:dyDescent="0.25">
      <c r="I4" s="82">
        <v>10</v>
      </c>
      <c r="J4" s="82"/>
      <c r="K4" s="82"/>
      <c r="L4" s="82"/>
      <c r="M4" s="82"/>
      <c r="N4" s="82">
        <v>10</v>
      </c>
      <c r="O4" s="82"/>
      <c r="P4" s="82"/>
      <c r="Q4" s="82"/>
      <c r="R4" s="82"/>
      <c r="S4" s="82">
        <v>10</v>
      </c>
      <c r="T4" s="82"/>
      <c r="U4" s="82"/>
      <c r="V4" s="82"/>
      <c r="W4" s="82"/>
      <c r="X4" s="82">
        <v>10</v>
      </c>
      <c r="Y4" s="82"/>
      <c r="Z4" s="82"/>
      <c r="AA4" s="82"/>
      <c r="AB4" s="82"/>
      <c r="AC4" s="82">
        <v>10</v>
      </c>
      <c r="AD4" s="82"/>
      <c r="AE4" s="82"/>
      <c r="AF4" s="82"/>
      <c r="AG4" s="82"/>
      <c r="AH4" s="82">
        <v>10</v>
      </c>
      <c r="AI4" s="82"/>
      <c r="AJ4" s="82"/>
      <c r="AK4" s="82"/>
      <c r="AL4" s="82"/>
      <c r="AM4" s="82">
        <v>10</v>
      </c>
      <c r="AN4" s="82"/>
      <c r="AO4" s="82"/>
      <c r="AP4" s="82"/>
      <c r="AQ4" s="82"/>
      <c r="AR4" s="82">
        <v>10</v>
      </c>
      <c r="AS4" s="82"/>
      <c r="AT4" s="82"/>
      <c r="AU4" s="82"/>
      <c r="AV4" s="82"/>
      <c r="AW4" s="82">
        <v>10</v>
      </c>
      <c r="AX4" s="82"/>
      <c r="AY4" s="82"/>
      <c r="AZ4" s="82"/>
      <c r="BA4" s="82"/>
      <c r="BB4" s="82">
        <v>10</v>
      </c>
      <c r="BC4" s="82"/>
      <c r="BD4" s="82"/>
      <c r="BE4" s="82"/>
      <c r="BF4" s="82"/>
      <c r="BG4" s="82">
        <v>10</v>
      </c>
      <c r="BH4" s="82"/>
      <c r="BI4" s="82"/>
      <c r="BJ4" s="82"/>
      <c r="BK4" s="82"/>
      <c r="BL4" s="82">
        <v>10</v>
      </c>
      <c r="BM4" s="82"/>
      <c r="BN4" s="82"/>
      <c r="BO4" s="82"/>
      <c r="BP4" s="82"/>
      <c r="BT4" s="83" t="s">
        <v>0</v>
      </c>
      <c r="BU4" s="83"/>
      <c r="BV4" s="83"/>
      <c r="BW4" s="83"/>
      <c r="BX4" s="83"/>
      <c r="BY4" s="83" t="s">
        <v>1</v>
      </c>
      <c r="BZ4" s="83"/>
      <c r="CA4" s="83"/>
      <c r="CB4" s="83"/>
      <c r="CC4" s="83"/>
      <c r="CD4" s="83" t="s">
        <v>2</v>
      </c>
      <c r="CE4" s="83"/>
      <c r="CF4" s="83"/>
      <c r="CG4" s="83"/>
      <c r="CH4" s="83"/>
    </row>
    <row r="5" spans="5:86" x14ac:dyDescent="0.25">
      <c r="E5" s="4"/>
      <c r="F5" s="2"/>
      <c r="H5" s="59">
        <v>10</v>
      </c>
      <c r="I5" s="60">
        <f>100-1.3</f>
        <v>98.7</v>
      </c>
      <c r="J5" s="61"/>
      <c r="K5" s="61"/>
      <c r="L5" s="61"/>
      <c r="M5" s="62"/>
      <c r="N5" s="60">
        <f>100-1.3</f>
        <v>98.7</v>
      </c>
      <c r="O5" s="61"/>
      <c r="P5" s="61"/>
      <c r="Q5" s="61"/>
      <c r="R5" s="62"/>
      <c r="S5" s="60">
        <f>100-1.28</f>
        <v>98.72</v>
      </c>
      <c r="T5" s="61"/>
      <c r="U5" s="61"/>
      <c r="V5" s="61"/>
      <c r="W5" s="62"/>
      <c r="X5" s="60">
        <f>100-1.26</f>
        <v>98.74</v>
      </c>
      <c r="Y5" s="61"/>
      <c r="Z5" s="61"/>
      <c r="AA5" s="61"/>
      <c r="AB5" s="62"/>
      <c r="AC5" s="60">
        <f>100-1.26</f>
        <v>98.74</v>
      </c>
      <c r="AD5" s="61"/>
      <c r="AE5" s="61"/>
      <c r="AF5" s="61"/>
      <c r="AG5" s="62"/>
      <c r="AH5" s="60">
        <f>100-1.28</f>
        <v>98.72</v>
      </c>
      <c r="AI5" s="61"/>
      <c r="AJ5" s="61"/>
      <c r="AK5" s="61"/>
      <c r="AL5" s="62"/>
      <c r="AM5" s="60">
        <f>100-1.35</f>
        <v>98.65</v>
      </c>
      <c r="AN5" s="61"/>
      <c r="AO5" s="61"/>
      <c r="AP5" s="61"/>
      <c r="AQ5" s="62"/>
      <c r="AR5" s="60">
        <f>100-1.32</f>
        <v>98.68</v>
      </c>
      <c r="AS5" s="61"/>
      <c r="AT5" s="61"/>
      <c r="AU5" s="61"/>
      <c r="AV5" s="62"/>
      <c r="AW5" s="60">
        <f>100-1.32</f>
        <v>98.68</v>
      </c>
      <c r="AX5" s="61"/>
      <c r="AY5" s="61"/>
      <c r="AZ5" s="61"/>
      <c r="BA5" s="62"/>
      <c r="BB5" s="60">
        <f>100-1.32</f>
        <v>98.68</v>
      </c>
      <c r="BC5" s="61"/>
      <c r="BD5" s="61"/>
      <c r="BE5" s="61"/>
      <c r="BF5" s="62"/>
      <c r="BG5" s="60">
        <f>100-1.29</f>
        <v>98.71</v>
      </c>
      <c r="BH5" s="61"/>
      <c r="BI5" s="61"/>
      <c r="BJ5" s="61"/>
      <c r="BK5" s="62"/>
      <c r="BL5" s="60">
        <f>100-1.34</f>
        <v>98.66</v>
      </c>
      <c r="BM5" s="61"/>
      <c r="BN5" s="61"/>
      <c r="BO5" s="61"/>
      <c r="BP5" s="62"/>
      <c r="BT5" s="83"/>
      <c r="BU5" s="83"/>
      <c r="BV5" s="83"/>
      <c r="BW5" s="83"/>
      <c r="BX5" s="83"/>
      <c r="BY5" s="83"/>
      <c r="BZ5" s="83"/>
      <c r="CA5" s="83"/>
      <c r="CB5" s="83"/>
      <c r="CC5" s="83"/>
      <c r="CD5" s="83"/>
      <c r="CE5" s="83"/>
      <c r="CF5" s="83"/>
      <c r="CG5" s="83"/>
      <c r="CH5" s="83"/>
    </row>
    <row r="6" spans="5:86" x14ac:dyDescent="0.25">
      <c r="E6" s="6"/>
      <c r="F6" s="5"/>
      <c r="H6" s="59"/>
      <c r="I6" s="63"/>
      <c r="J6" s="49"/>
      <c r="K6" s="49"/>
      <c r="L6" s="49"/>
      <c r="M6" s="64"/>
      <c r="N6" s="63"/>
      <c r="O6" s="49"/>
      <c r="P6" s="49"/>
      <c r="Q6" s="49"/>
      <c r="R6" s="64"/>
      <c r="S6" s="63"/>
      <c r="T6" s="49"/>
      <c r="U6" s="49"/>
      <c r="V6" s="49"/>
      <c r="W6" s="64"/>
      <c r="X6" s="63"/>
      <c r="Y6" s="49"/>
      <c r="Z6" s="49"/>
      <c r="AA6" s="49"/>
      <c r="AB6" s="64"/>
      <c r="AC6" s="63"/>
      <c r="AD6" s="49"/>
      <c r="AE6" s="49"/>
      <c r="AF6" s="49"/>
      <c r="AG6" s="64"/>
      <c r="AH6" s="63"/>
      <c r="AI6" s="49"/>
      <c r="AJ6" s="49"/>
      <c r="AK6" s="49"/>
      <c r="AL6" s="64"/>
      <c r="AM6" s="63"/>
      <c r="AN6" s="49"/>
      <c r="AO6" s="49"/>
      <c r="AP6" s="49"/>
      <c r="AQ6" s="64"/>
      <c r="AR6" s="63"/>
      <c r="AS6" s="49"/>
      <c r="AT6" s="49"/>
      <c r="AU6" s="49"/>
      <c r="AV6" s="64"/>
      <c r="AW6" s="63"/>
      <c r="AX6" s="49"/>
      <c r="AY6" s="49"/>
      <c r="AZ6" s="49"/>
      <c r="BA6" s="64"/>
      <c r="BB6" s="63"/>
      <c r="BC6" s="49"/>
      <c r="BD6" s="49"/>
      <c r="BE6" s="49"/>
      <c r="BF6" s="64"/>
      <c r="BG6" s="63"/>
      <c r="BH6" s="49"/>
      <c r="BI6" s="49"/>
      <c r="BJ6" s="49"/>
      <c r="BK6" s="64"/>
      <c r="BL6" s="63"/>
      <c r="BM6" s="49"/>
      <c r="BN6" s="49"/>
      <c r="BO6" s="49"/>
      <c r="BP6" s="64"/>
      <c r="BT6" s="80" t="s">
        <v>3</v>
      </c>
      <c r="BU6" s="80"/>
      <c r="BV6" s="80"/>
      <c r="BW6" s="80"/>
      <c r="BX6" s="80"/>
      <c r="BY6" s="81">
        <f>SUM(I5+N5+S5+X5+AC5+AH5+AM5+AR5+AW5+BB5+BG5+BL5+BL10+BL15+BL20+BL25+BL30+BG30+BB30+AW30+AR30+AM30+AH30+AC30+X30+S30+N30+I30+I25+I20+I15+I10)/32</f>
        <v>98.697500000000019</v>
      </c>
      <c r="BZ6" s="81"/>
      <c r="CA6" s="81"/>
      <c r="CB6" s="81"/>
      <c r="CC6" s="81"/>
      <c r="CD6" s="81">
        <f>100-BY6</f>
        <v>1.3024999999999807</v>
      </c>
      <c r="CE6" s="81"/>
      <c r="CF6" s="81"/>
      <c r="CG6" s="81"/>
      <c r="CH6" s="81"/>
    </row>
    <row r="7" spans="5:86" x14ac:dyDescent="0.25">
      <c r="E7" s="6"/>
      <c r="F7" s="5"/>
      <c r="H7" s="59"/>
      <c r="I7" s="63"/>
      <c r="J7" s="49"/>
      <c r="K7" s="49"/>
      <c r="L7" s="49"/>
      <c r="M7" s="64"/>
      <c r="N7" s="63"/>
      <c r="O7" s="49"/>
      <c r="P7" s="49"/>
      <c r="Q7" s="49"/>
      <c r="R7" s="64"/>
      <c r="S7" s="63"/>
      <c r="T7" s="49"/>
      <c r="U7" s="49"/>
      <c r="V7" s="49"/>
      <c r="W7" s="64"/>
      <c r="X7" s="63"/>
      <c r="Y7" s="49"/>
      <c r="Z7" s="49"/>
      <c r="AA7" s="49"/>
      <c r="AB7" s="64"/>
      <c r="AC7" s="63"/>
      <c r="AD7" s="49"/>
      <c r="AE7" s="49"/>
      <c r="AF7" s="49"/>
      <c r="AG7" s="64"/>
      <c r="AH7" s="63"/>
      <c r="AI7" s="49"/>
      <c r="AJ7" s="49"/>
      <c r="AK7" s="49"/>
      <c r="AL7" s="64"/>
      <c r="AM7" s="63"/>
      <c r="AN7" s="49"/>
      <c r="AO7" s="49"/>
      <c r="AP7" s="49"/>
      <c r="AQ7" s="64"/>
      <c r="AR7" s="63"/>
      <c r="AS7" s="49"/>
      <c r="AT7" s="49"/>
      <c r="AU7" s="49"/>
      <c r="AV7" s="64"/>
      <c r="AW7" s="63"/>
      <c r="AX7" s="49"/>
      <c r="AY7" s="49"/>
      <c r="AZ7" s="49"/>
      <c r="BA7" s="64"/>
      <c r="BB7" s="63"/>
      <c r="BC7" s="49"/>
      <c r="BD7" s="49"/>
      <c r="BE7" s="49"/>
      <c r="BF7" s="64"/>
      <c r="BG7" s="63"/>
      <c r="BH7" s="49"/>
      <c r="BI7" s="49"/>
      <c r="BJ7" s="49"/>
      <c r="BK7" s="64"/>
      <c r="BL7" s="63"/>
      <c r="BM7" s="49"/>
      <c r="BN7" s="49"/>
      <c r="BO7" s="49"/>
      <c r="BP7" s="64"/>
      <c r="BT7" s="80"/>
      <c r="BU7" s="80"/>
      <c r="BV7" s="80"/>
      <c r="BW7" s="80"/>
      <c r="BX7" s="80"/>
      <c r="BY7" s="81"/>
      <c r="BZ7" s="81"/>
      <c r="CA7" s="81"/>
      <c r="CB7" s="81"/>
      <c r="CC7" s="81"/>
      <c r="CD7" s="81"/>
      <c r="CE7" s="81"/>
      <c r="CF7" s="81"/>
      <c r="CG7" s="81"/>
      <c r="CH7" s="81"/>
    </row>
    <row r="8" spans="5:86" x14ac:dyDescent="0.25">
      <c r="E8" s="6"/>
      <c r="F8" s="5"/>
      <c r="H8" s="59"/>
      <c r="I8" s="65">
        <v>1</v>
      </c>
      <c r="J8" s="66"/>
      <c r="K8" s="66"/>
      <c r="L8" s="66"/>
      <c r="M8" s="67"/>
      <c r="N8" s="65">
        <v>2</v>
      </c>
      <c r="O8" s="66"/>
      <c r="P8" s="66"/>
      <c r="Q8" s="66"/>
      <c r="R8" s="67"/>
      <c r="S8" s="65">
        <v>3</v>
      </c>
      <c r="T8" s="66"/>
      <c r="U8" s="66"/>
      <c r="V8" s="66"/>
      <c r="W8" s="67"/>
      <c r="X8" s="65">
        <v>4</v>
      </c>
      <c r="Y8" s="66"/>
      <c r="Z8" s="66"/>
      <c r="AA8" s="66"/>
      <c r="AB8" s="67"/>
      <c r="AC8" s="65">
        <v>5</v>
      </c>
      <c r="AD8" s="66"/>
      <c r="AE8" s="66"/>
      <c r="AF8" s="66"/>
      <c r="AG8" s="67"/>
      <c r="AH8" s="65">
        <v>6</v>
      </c>
      <c r="AI8" s="66"/>
      <c r="AJ8" s="66"/>
      <c r="AK8" s="66"/>
      <c r="AL8" s="67"/>
      <c r="AM8" s="65">
        <v>7</v>
      </c>
      <c r="AN8" s="66"/>
      <c r="AO8" s="66"/>
      <c r="AP8" s="66"/>
      <c r="AQ8" s="67"/>
      <c r="AR8" s="65">
        <v>8</v>
      </c>
      <c r="AS8" s="66"/>
      <c r="AT8" s="66"/>
      <c r="AU8" s="66"/>
      <c r="AV8" s="67"/>
      <c r="AW8" s="65">
        <v>9</v>
      </c>
      <c r="AX8" s="66"/>
      <c r="AY8" s="66"/>
      <c r="AZ8" s="66"/>
      <c r="BA8" s="67"/>
      <c r="BB8" s="65">
        <v>10</v>
      </c>
      <c r="BC8" s="66"/>
      <c r="BD8" s="66"/>
      <c r="BE8" s="66"/>
      <c r="BF8" s="67"/>
      <c r="BG8" s="65">
        <v>11</v>
      </c>
      <c r="BH8" s="66"/>
      <c r="BI8" s="66"/>
      <c r="BJ8" s="66"/>
      <c r="BK8" s="67"/>
      <c r="BL8" s="65">
        <v>12</v>
      </c>
      <c r="BM8" s="66"/>
      <c r="BN8" s="66"/>
      <c r="BO8" s="66"/>
      <c r="BP8" s="67"/>
      <c r="BT8" s="80" t="s">
        <v>4</v>
      </c>
      <c r="BU8" s="80"/>
      <c r="BV8" s="80"/>
      <c r="BW8" s="80"/>
      <c r="BX8" s="80"/>
      <c r="BY8" s="81">
        <f>SUM(N10+S10+X10+AC10+AH10+AM10+AR10+AW10+BB10+BG10+BG15+BG20+BG25+BB25+AW25+AR25+AM25+AH25+AC25+X25+S25+N25+N20+N15+S15+X15+AC15+AH15+AM15+AR15+AW15+BB15+BB20+AW20+AR20+AM20+AH20+AC20+X20+S20)/40</f>
        <v>98.64522222222223</v>
      </c>
      <c r="BZ8" s="81"/>
      <c r="CA8" s="81"/>
      <c r="CB8" s="81"/>
      <c r="CC8" s="81"/>
      <c r="CD8" s="81">
        <f>100-BY8</f>
        <v>1.3547777777777696</v>
      </c>
      <c r="CE8" s="119"/>
      <c r="CF8" s="119"/>
      <c r="CG8" s="119"/>
      <c r="CH8" s="119"/>
    </row>
    <row r="9" spans="5:86" x14ac:dyDescent="0.25">
      <c r="E9" s="6"/>
      <c r="F9" s="5"/>
      <c r="H9" s="59"/>
      <c r="I9" s="68"/>
      <c r="J9" s="69"/>
      <c r="K9" s="69"/>
      <c r="L9" s="69"/>
      <c r="M9" s="70"/>
      <c r="N9" s="68"/>
      <c r="O9" s="69"/>
      <c r="P9" s="69"/>
      <c r="Q9" s="69"/>
      <c r="R9" s="70"/>
      <c r="S9" s="68"/>
      <c r="T9" s="69"/>
      <c r="U9" s="69"/>
      <c r="V9" s="69"/>
      <c r="W9" s="70"/>
      <c r="X9" s="68"/>
      <c r="Y9" s="69"/>
      <c r="Z9" s="69"/>
      <c r="AA9" s="69"/>
      <c r="AB9" s="70"/>
      <c r="AC9" s="68"/>
      <c r="AD9" s="69"/>
      <c r="AE9" s="69"/>
      <c r="AF9" s="69"/>
      <c r="AG9" s="70"/>
      <c r="AH9" s="68"/>
      <c r="AI9" s="69"/>
      <c r="AJ9" s="69"/>
      <c r="AK9" s="69"/>
      <c r="AL9" s="70"/>
      <c r="AM9" s="68"/>
      <c r="AN9" s="69"/>
      <c r="AO9" s="69"/>
      <c r="AP9" s="69"/>
      <c r="AQ9" s="70"/>
      <c r="AR9" s="68"/>
      <c r="AS9" s="69"/>
      <c r="AT9" s="69"/>
      <c r="AU9" s="69"/>
      <c r="AV9" s="70"/>
      <c r="AW9" s="68"/>
      <c r="AX9" s="69"/>
      <c r="AY9" s="69"/>
      <c r="AZ9" s="69"/>
      <c r="BA9" s="70"/>
      <c r="BB9" s="68"/>
      <c r="BC9" s="69"/>
      <c r="BD9" s="69"/>
      <c r="BE9" s="69"/>
      <c r="BF9" s="70"/>
      <c r="BG9" s="68"/>
      <c r="BH9" s="69"/>
      <c r="BI9" s="69"/>
      <c r="BJ9" s="69"/>
      <c r="BK9" s="70"/>
      <c r="BL9" s="68"/>
      <c r="BM9" s="69"/>
      <c r="BN9" s="69"/>
      <c r="BO9" s="69"/>
      <c r="BP9" s="70"/>
      <c r="BT9" s="80"/>
      <c r="BU9" s="80"/>
      <c r="BV9" s="80"/>
      <c r="BW9" s="80"/>
      <c r="BX9" s="80"/>
      <c r="BY9" s="81"/>
      <c r="BZ9" s="81"/>
      <c r="CA9" s="81"/>
      <c r="CB9" s="81"/>
      <c r="CC9" s="81"/>
      <c r="CD9" s="119"/>
      <c r="CE9" s="119"/>
      <c r="CF9" s="119"/>
      <c r="CG9" s="119"/>
      <c r="CH9" s="119"/>
    </row>
    <row r="10" spans="5:86" x14ac:dyDescent="0.25">
      <c r="E10" s="6"/>
      <c r="F10" s="5"/>
      <c r="H10" s="59">
        <v>10</v>
      </c>
      <c r="I10" s="60">
        <f>100-1.25</f>
        <v>98.75</v>
      </c>
      <c r="J10" s="61"/>
      <c r="K10" s="61"/>
      <c r="L10" s="61"/>
      <c r="M10" s="62"/>
      <c r="N10" s="60">
        <f>SUM(I10+I5+N5)/3-0.03</f>
        <v>98.686666666666653</v>
      </c>
      <c r="O10" s="61"/>
      <c r="P10" s="61"/>
      <c r="Q10" s="61"/>
      <c r="R10" s="62"/>
      <c r="S10" s="60">
        <f>S5-0.03</f>
        <v>98.69</v>
      </c>
      <c r="T10" s="61"/>
      <c r="U10" s="61"/>
      <c r="V10" s="61"/>
      <c r="W10" s="62"/>
      <c r="X10" s="60">
        <f>X5-0.03</f>
        <v>98.71</v>
      </c>
      <c r="Y10" s="61"/>
      <c r="Z10" s="61"/>
      <c r="AA10" s="61"/>
      <c r="AB10" s="62"/>
      <c r="AC10" s="60">
        <f>AC5-0.03</f>
        <v>98.71</v>
      </c>
      <c r="AD10" s="61"/>
      <c r="AE10" s="61"/>
      <c r="AF10" s="61"/>
      <c r="AG10" s="62"/>
      <c r="AH10" s="60">
        <f>AH5-0.03</f>
        <v>98.69</v>
      </c>
      <c r="AI10" s="61"/>
      <c r="AJ10" s="61"/>
      <c r="AK10" s="61"/>
      <c r="AL10" s="62"/>
      <c r="AM10" s="60">
        <f>AM5-0.03</f>
        <v>98.62</v>
      </c>
      <c r="AN10" s="61"/>
      <c r="AO10" s="61"/>
      <c r="AP10" s="61"/>
      <c r="AQ10" s="62"/>
      <c r="AR10" s="60">
        <f>AR5-0.03</f>
        <v>98.65</v>
      </c>
      <c r="AS10" s="61"/>
      <c r="AT10" s="61"/>
      <c r="AU10" s="61"/>
      <c r="AV10" s="62"/>
      <c r="AW10" s="60">
        <f>AW5-0.03</f>
        <v>98.65</v>
      </c>
      <c r="AX10" s="61"/>
      <c r="AY10" s="61"/>
      <c r="AZ10" s="61"/>
      <c r="BA10" s="62"/>
      <c r="BB10" s="60">
        <f>BB5-0.03</f>
        <v>98.65</v>
      </c>
      <c r="BC10" s="61"/>
      <c r="BD10" s="61"/>
      <c r="BE10" s="61"/>
      <c r="BF10" s="62"/>
      <c r="BG10" s="60">
        <f>SUM(BG5+BL5+BL10)/3-0.03</f>
        <v>98.646666666666661</v>
      </c>
      <c r="BH10" s="61"/>
      <c r="BI10" s="61"/>
      <c r="BJ10" s="61"/>
      <c r="BK10" s="62"/>
      <c r="BL10" s="60">
        <f>100-1.34</f>
        <v>98.66</v>
      </c>
      <c r="BM10" s="61"/>
      <c r="BN10" s="61"/>
      <c r="BO10" s="61"/>
      <c r="BP10" s="62"/>
      <c r="BT10" s="115" t="s">
        <v>5</v>
      </c>
      <c r="BU10" s="72"/>
      <c r="BV10" s="72"/>
      <c r="BW10" s="72"/>
      <c r="BX10" s="72"/>
      <c r="BY10" s="72"/>
      <c r="BZ10" s="72"/>
      <c r="CA10" s="72"/>
      <c r="CB10" s="72"/>
      <c r="CC10" s="72"/>
      <c r="CD10" s="72"/>
      <c r="CE10" s="72"/>
      <c r="CF10" s="72"/>
      <c r="CG10" s="72"/>
      <c r="CH10" s="73"/>
    </row>
    <row r="11" spans="5:86" x14ac:dyDescent="0.25">
      <c r="E11" s="6"/>
      <c r="F11" s="5"/>
      <c r="H11" s="59"/>
      <c r="I11" s="63"/>
      <c r="J11" s="49"/>
      <c r="K11" s="49"/>
      <c r="L11" s="49"/>
      <c r="M11" s="64"/>
      <c r="N11" s="63"/>
      <c r="O11" s="49"/>
      <c r="P11" s="49"/>
      <c r="Q11" s="49"/>
      <c r="R11" s="64"/>
      <c r="S11" s="63"/>
      <c r="T11" s="49"/>
      <c r="U11" s="49"/>
      <c r="V11" s="49"/>
      <c r="W11" s="64"/>
      <c r="X11" s="63"/>
      <c r="Y11" s="49"/>
      <c r="Z11" s="49"/>
      <c r="AA11" s="49"/>
      <c r="AB11" s="64"/>
      <c r="AC11" s="63"/>
      <c r="AD11" s="49"/>
      <c r="AE11" s="49"/>
      <c r="AF11" s="49"/>
      <c r="AG11" s="64"/>
      <c r="AH11" s="63"/>
      <c r="AI11" s="49"/>
      <c r="AJ11" s="49"/>
      <c r="AK11" s="49"/>
      <c r="AL11" s="64"/>
      <c r="AM11" s="63"/>
      <c r="AN11" s="49"/>
      <c r="AO11" s="49"/>
      <c r="AP11" s="49"/>
      <c r="AQ11" s="64"/>
      <c r="AR11" s="63"/>
      <c r="AS11" s="49"/>
      <c r="AT11" s="49"/>
      <c r="AU11" s="49"/>
      <c r="AV11" s="64"/>
      <c r="AW11" s="63"/>
      <c r="AX11" s="49"/>
      <c r="AY11" s="49"/>
      <c r="AZ11" s="49"/>
      <c r="BA11" s="64"/>
      <c r="BB11" s="63"/>
      <c r="BC11" s="49"/>
      <c r="BD11" s="49"/>
      <c r="BE11" s="49"/>
      <c r="BF11" s="64"/>
      <c r="BG11" s="63"/>
      <c r="BH11" s="49"/>
      <c r="BI11" s="49"/>
      <c r="BJ11" s="49"/>
      <c r="BK11" s="64"/>
      <c r="BL11" s="63"/>
      <c r="BM11" s="49"/>
      <c r="BN11" s="49"/>
      <c r="BO11" s="49"/>
      <c r="BP11" s="64"/>
      <c r="BT11" s="74"/>
      <c r="BU11" s="75"/>
      <c r="BV11" s="75"/>
      <c r="BW11" s="75"/>
      <c r="BX11" s="75"/>
      <c r="BY11" s="75"/>
      <c r="BZ11" s="75"/>
      <c r="CA11" s="75"/>
      <c r="CB11" s="75"/>
      <c r="CC11" s="75"/>
      <c r="CD11" s="75"/>
      <c r="CE11" s="75"/>
      <c r="CF11" s="75"/>
      <c r="CG11" s="75"/>
      <c r="CH11" s="76"/>
    </row>
    <row r="12" spans="5:86" x14ac:dyDescent="0.25">
      <c r="E12" s="6"/>
      <c r="F12" s="5"/>
      <c r="H12" s="59"/>
      <c r="I12" s="63"/>
      <c r="J12" s="49"/>
      <c r="K12" s="49"/>
      <c r="L12" s="49"/>
      <c r="M12" s="64"/>
      <c r="N12" s="63"/>
      <c r="O12" s="49"/>
      <c r="P12" s="49"/>
      <c r="Q12" s="49"/>
      <c r="R12" s="64"/>
      <c r="S12" s="63"/>
      <c r="T12" s="49"/>
      <c r="U12" s="49"/>
      <c r="V12" s="49"/>
      <c r="W12" s="64"/>
      <c r="X12" s="63"/>
      <c r="Y12" s="49"/>
      <c r="Z12" s="49"/>
      <c r="AA12" s="49"/>
      <c r="AB12" s="64"/>
      <c r="AC12" s="63"/>
      <c r="AD12" s="49"/>
      <c r="AE12" s="49"/>
      <c r="AF12" s="49"/>
      <c r="AG12" s="64"/>
      <c r="AH12" s="63"/>
      <c r="AI12" s="49"/>
      <c r="AJ12" s="49"/>
      <c r="AK12" s="49"/>
      <c r="AL12" s="64"/>
      <c r="AM12" s="63"/>
      <c r="AN12" s="49"/>
      <c r="AO12" s="49"/>
      <c r="AP12" s="49"/>
      <c r="AQ12" s="64"/>
      <c r="AR12" s="63"/>
      <c r="AS12" s="49"/>
      <c r="AT12" s="49"/>
      <c r="AU12" s="49"/>
      <c r="AV12" s="64"/>
      <c r="AW12" s="63"/>
      <c r="AX12" s="49"/>
      <c r="AY12" s="49"/>
      <c r="AZ12" s="49"/>
      <c r="BA12" s="64"/>
      <c r="BB12" s="63"/>
      <c r="BC12" s="49"/>
      <c r="BD12" s="49"/>
      <c r="BE12" s="49"/>
      <c r="BF12" s="64"/>
      <c r="BG12" s="63"/>
      <c r="BH12" s="49"/>
      <c r="BI12" s="49"/>
      <c r="BJ12" s="49"/>
      <c r="BK12" s="64"/>
      <c r="BL12" s="63"/>
      <c r="BM12" s="49"/>
      <c r="BN12" s="49"/>
      <c r="BO12" s="49"/>
      <c r="BP12" s="64"/>
      <c r="BT12" s="74"/>
      <c r="BU12" s="75"/>
      <c r="BV12" s="75"/>
      <c r="BW12" s="75"/>
      <c r="BX12" s="75"/>
      <c r="BY12" s="75"/>
      <c r="BZ12" s="75"/>
      <c r="CA12" s="75"/>
      <c r="CB12" s="75"/>
      <c r="CC12" s="75"/>
      <c r="CD12" s="75"/>
      <c r="CE12" s="75"/>
      <c r="CF12" s="75"/>
      <c r="CG12" s="75"/>
      <c r="CH12" s="76"/>
    </row>
    <row r="13" spans="5:86" x14ac:dyDescent="0.25">
      <c r="E13" s="6"/>
      <c r="F13" s="5"/>
      <c r="H13" s="59"/>
      <c r="I13" s="65">
        <v>32</v>
      </c>
      <c r="J13" s="66"/>
      <c r="K13" s="66"/>
      <c r="L13" s="66"/>
      <c r="M13" s="67"/>
      <c r="N13" s="65">
        <v>33</v>
      </c>
      <c r="O13" s="66"/>
      <c r="P13" s="66"/>
      <c r="Q13" s="66"/>
      <c r="R13" s="67"/>
      <c r="S13" s="65">
        <v>34</v>
      </c>
      <c r="T13" s="66"/>
      <c r="U13" s="66"/>
      <c r="V13" s="66"/>
      <c r="W13" s="67"/>
      <c r="X13" s="65">
        <v>35</v>
      </c>
      <c r="Y13" s="66"/>
      <c r="Z13" s="66"/>
      <c r="AA13" s="66"/>
      <c r="AB13" s="67"/>
      <c r="AC13" s="65">
        <v>36</v>
      </c>
      <c r="AD13" s="66"/>
      <c r="AE13" s="66"/>
      <c r="AF13" s="66"/>
      <c r="AG13" s="67"/>
      <c r="AH13" s="65">
        <v>37</v>
      </c>
      <c r="AI13" s="66"/>
      <c r="AJ13" s="66"/>
      <c r="AK13" s="66"/>
      <c r="AL13" s="67"/>
      <c r="AM13" s="65">
        <v>38</v>
      </c>
      <c r="AN13" s="66"/>
      <c r="AO13" s="66"/>
      <c r="AP13" s="66"/>
      <c r="AQ13" s="67"/>
      <c r="AR13" s="65">
        <v>39</v>
      </c>
      <c r="AS13" s="66"/>
      <c r="AT13" s="66"/>
      <c r="AU13" s="66"/>
      <c r="AV13" s="67"/>
      <c r="AW13" s="65">
        <v>40</v>
      </c>
      <c r="AX13" s="66"/>
      <c r="AY13" s="66"/>
      <c r="AZ13" s="66"/>
      <c r="BA13" s="67"/>
      <c r="BB13" s="65">
        <v>41</v>
      </c>
      <c r="BC13" s="66"/>
      <c r="BD13" s="66"/>
      <c r="BE13" s="66"/>
      <c r="BF13" s="67"/>
      <c r="BG13" s="65">
        <v>42</v>
      </c>
      <c r="BH13" s="66"/>
      <c r="BI13" s="66"/>
      <c r="BJ13" s="66"/>
      <c r="BK13" s="67"/>
      <c r="BL13" s="65">
        <v>13</v>
      </c>
      <c r="BM13" s="66"/>
      <c r="BN13" s="66"/>
      <c r="BO13" s="66"/>
      <c r="BP13" s="67"/>
      <c r="BT13" s="74"/>
      <c r="BU13" s="75"/>
      <c r="BV13" s="75"/>
      <c r="BW13" s="75"/>
      <c r="BX13" s="75"/>
      <c r="BY13" s="75"/>
      <c r="BZ13" s="75"/>
      <c r="CA13" s="75"/>
      <c r="CB13" s="75"/>
      <c r="CC13" s="75"/>
      <c r="CD13" s="75"/>
      <c r="CE13" s="75"/>
      <c r="CF13" s="75"/>
      <c r="CG13" s="75"/>
      <c r="CH13" s="76"/>
    </row>
    <row r="14" spans="5:86" x14ac:dyDescent="0.25">
      <c r="E14" s="6"/>
      <c r="F14" s="5"/>
      <c r="H14" s="59"/>
      <c r="I14" s="68"/>
      <c r="J14" s="69"/>
      <c r="K14" s="69"/>
      <c r="L14" s="69"/>
      <c r="M14" s="70"/>
      <c r="N14" s="68"/>
      <c r="O14" s="69"/>
      <c r="P14" s="69"/>
      <c r="Q14" s="69"/>
      <c r="R14" s="70"/>
      <c r="S14" s="68"/>
      <c r="T14" s="69"/>
      <c r="U14" s="69"/>
      <c r="V14" s="69"/>
      <c r="W14" s="70"/>
      <c r="X14" s="68"/>
      <c r="Y14" s="69"/>
      <c r="Z14" s="69"/>
      <c r="AA14" s="69"/>
      <c r="AB14" s="70"/>
      <c r="AC14" s="68"/>
      <c r="AD14" s="69"/>
      <c r="AE14" s="69"/>
      <c r="AF14" s="69"/>
      <c r="AG14" s="70"/>
      <c r="AH14" s="68"/>
      <c r="AI14" s="69"/>
      <c r="AJ14" s="69"/>
      <c r="AK14" s="69"/>
      <c r="AL14" s="70"/>
      <c r="AM14" s="68"/>
      <c r="AN14" s="69"/>
      <c r="AO14" s="69"/>
      <c r="AP14" s="69"/>
      <c r="AQ14" s="70"/>
      <c r="AR14" s="68"/>
      <c r="AS14" s="69"/>
      <c r="AT14" s="69"/>
      <c r="AU14" s="69"/>
      <c r="AV14" s="70"/>
      <c r="AW14" s="68"/>
      <c r="AX14" s="69"/>
      <c r="AY14" s="69"/>
      <c r="AZ14" s="69"/>
      <c r="BA14" s="70"/>
      <c r="BB14" s="68"/>
      <c r="BC14" s="69"/>
      <c r="BD14" s="69"/>
      <c r="BE14" s="69"/>
      <c r="BF14" s="70"/>
      <c r="BG14" s="68"/>
      <c r="BH14" s="69"/>
      <c r="BI14" s="69"/>
      <c r="BJ14" s="69"/>
      <c r="BK14" s="70"/>
      <c r="BL14" s="68"/>
      <c r="BM14" s="69"/>
      <c r="BN14" s="69"/>
      <c r="BO14" s="69"/>
      <c r="BP14" s="70"/>
      <c r="BT14" s="74"/>
      <c r="BU14" s="75"/>
      <c r="BV14" s="75"/>
      <c r="BW14" s="75"/>
      <c r="BX14" s="75"/>
      <c r="BY14" s="75"/>
      <c r="BZ14" s="75"/>
      <c r="CA14" s="75"/>
      <c r="CB14" s="75"/>
      <c r="CC14" s="75"/>
      <c r="CD14" s="75"/>
      <c r="CE14" s="75"/>
      <c r="CF14" s="75"/>
      <c r="CG14" s="75"/>
      <c r="CH14" s="76"/>
    </row>
    <row r="15" spans="5:86" x14ac:dyDescent="0.25">
      <c r="E15" s="6"/>
      <c r="F15" s="5"/>
      <c r="H15" s="59">
        <v>10</v>
      </c>
      <c r="I15" s="60">
        <f>100-1.38</f>
        <v>98.62</v>
      </c>
      <c r="J15" s="61"/>
      <c r="K15" s="61"/>
      <c r="L15" s="61"/>
      <c r="M15" s="62"/>
      <c r="N15" s="60">
        <f>I15-0.03</f>
        <v>98.59</v>
      </c>
      <c r="O15" s="61"/>
      <c r="P15" s="61"/>
      <c r="Q15" s="61"/>
      <c r="R15" s="62"/>
      <c r="S15" s="60">
        <f>SUM(N15+N10+S10)/3-0.03</f>
        <v>98.62555555555555</v>
      </c>
      <c r="T15" s="61"/>
      <c r="U15" s="61"/>
      <c r="V15" s="61"/>
      <c r="W15" s="62"/>
      <c r="X15" s="60">
        <f>X10-0.03</f>
        <v>98.679999999999993</v>
      </c>
      <c r="Y15" s="61"/>
      <c r="Z15" s="61"/>
      <c r="AA15" s="61"/>
      <c r="AB15" s="62"/>
      <c r="AC15" s="60">
        <f>AC10-0.02</f>
        <v>98.69</v>
      </c>
      <c r="AD15" s="61"/>
      <c r="AE15" s="61"/>
      <c r="AF15" s="61"/>
      <c r="AG15" s="62"/>
      <c r="AH15" s="60">
        <f>AH10-0.03</f>
        <v>98.66</v>
      </c>
      <c r="AI15" s="61"/>
      <c r="AJ15" s="61"/>
      <c r="AK15" s="61"/>
      <c r="AL15" s="62"/>
      <c r="AM15" s="60">
        <f>AM10-0.03</f>
        <v>98.59</v>
      </c>
      <c r="AN15" s="61"/>
      <c r="AO15" s="61"/>
      <c r="AP15" s="61"/>
      <c r="AQ15" s="62"/>
      <c r="AR15" s="60">
        <f>AR10-0.03</f>
        <v>98.62</v>
      </c>
      <c r="AS15" s="61"/>
      <c r="AT15" s="61"/>
      <c r="AU15" s="61"/>
      <c r="AV15" s="62"/>
      <c r="AW15" s="60">
        <f>AW10-0.02</f>
        <v>98.63000000000001</v>
      </c>
      <c r="AX15" s="61"/>
      <c r="AY15" s="61"/>
      <c r="AZ15" s="61"/>
      <c r="BA15" s="62"/>
      <c r="BB15" s="60">
        <f>SUM(BB10+BG10+BG15)/3-0.03</f>
        <v>98.625555555555565</v>
      </c>
      <c r="BC15" s="61"/>
      <c r="BD15" s="61"/>
      <c r="BE15" s="61"/>
      <c r="BF15" s="62"/>
      <c r="BG15" s="60">
        <f>BL15-0.03</f>
        <v>98.67</v>
      </c>
      <c r="BH15" s="61"/>
      <c r="BI15" s="61"/>
      <c r="BJ15" s="61"/>
      <c r="BK15" s="62"/>
      <c r="BL15" s="60">
        <f>100-1.3</f>
        <v>98.7</v>
      </c>
      <c r="BM15" s="61"/>
      <c r="BN15" s="61"/>
      <c r="BO15" s="61"/>
      <c r="BP15" s="62"/>
      <c r="BT15" s="74"/>
      <c r="BU15" s="75"/>
      <c r="BV15" s="75"/>
      <c r="BW15" s="75"/>
      <c r="BX15" s="75"/>
      <c r="BY15" s="75"/>
      <c r="BZ15" s="75"/>
      <c r="CA15" s="75"/>
      <c r="CB15" s="75"/>
      <c r="CC15" s="75"/>
      <c r="CD15" s="75"/>
      <c r="CE15" s="75"/>
      <c r="CF15" s="75"/>
      <c r="CG15" s="75"/>
      <c r="CH15" s="76"/>
    </row>
    <row r="16" spans="5:86" x14ac:dyDescent="0.25">
      <c r="E16" s="6"/>
      <c r="F16" s="5"/>
      <c r="H16" s="59"/>
      <c r="I16" s="63"/>
      <c r="J16" s="49"/>
      <c r="K16" s="49"/>
      <c r="L16" s="49"/>
      <c r="M16" s="64"/>
      <c r="N16" s="63"/>
      <c r="O16" s="49"/>
      <c r="P16" s="49"/>
      <c r="Q16" s="49"/>
      <c r="R16" s="64"/>
      <c r="S16" s="63"/>
      <c r="T16" s="49"/>
      <c r="U16" s="49"/>
      <c r="V16" s="49"/>
      <c r="W16" s="64"/>
      <c r="X16" s="63"/>
      <c r="Y16" s="49"/>
      <c r="Z16" s="49"/>
      <c r="AA16" s="49"/>
      <c r="AB16" s="64"/>
      <c r="AC16" s="63"/>
      <c r="AD16" s="49"/>
      <c r="AE16" s="49"/>
      <c r="AF16" s="49"/>
      <c r="AG16" s="64"/>
      <c r="AH16" s="63"/>
      <c r="AI16" s="49"/>
      <c r="AJ16" s="49"/>
      <c r="AK16" s="49"/>
      <c r="AL16" s="64"/>
      <c r="AM16" s="63"/>
      <c r="AN16" s="49"/>
      <c r="AO16" s="49"/>
      <c r="AP16" s="49"/>
      <c r="AQ16" s="64"/>
      <c r="AR16" s="63"/>
      <c r="AS16" s="49"/>
      <c r="AT16" s="49"/>
      <c r="AU16" s="49"/>
      <c r="AV16" s="64"/>
      <c r="AW16" s="63"/>
      <c r="AX16" s="49"/>
      <c r="AY16" s="49"/>
      <c r="AZ16" s="49"/>
      <c r="BA16" s="64"/>
      <c r="BB16" s="63"/>
      <c r="BC16" s="49"/>
      <c r="BD16" s="49"/>
      <c r="BE16" s="49"/>
      <c r="BF16" s="64"/>
      <c r="BG16" s="63"/>
      <c r="BH16" s="49"/>
      <c r="BI16" s="49"/>
      <c r="BJ16" s="49"/>
      <c r="BK16" s="64"/>
      <c r="BL16" s="63"/>
      <c r="BM16" s="49"/>
      <c r="BN16" s="49"/>
      <c r="BO16" s="49"/>
      <c r="BP16" s="64"/>
      <c r="BT16" s="74"/>
      <c r="BU16" s="75"/>
      <c r="BV16" s="75"/>
      <c r="BW16" s="75"/>
      <c r="BX16" s="75"/>
      <c r="BY16" s="75"/>
      <c r="BZ16" s="75"/>
      <c r="CA16" s="75"/>
      <c r="CB16" s="75"/>
      <c r="CC16" s="75"/>
      <c r="CD16" s="75"/>
      <c r="CE16" s="75"/>
      <c r="CF16" s="75"/>
      <c r="CG16" s="75"/>
      <c r="CH16" s="76"/>
    </row>
    <row r="17" spans="4:86" x14ac:dyDescent="0.25">
      <c r="E17" s="6"/>
      <c r="F17" s="5"/>
      <c r="H17" s="59"/>
      <c r="I17" s="63"/>
      <c r="J17" s="49"/>
      <c r="K17" s="49"/>
      <c r="L17" s="49"/>
      <c r="M17" s="64"/>
      <c r="N17" s="63"/>
      <c r="O17" s="49"/>
      <c r="P17" s="49"/>
      <c r="Q17" s="49"/>
      <c r="R17" s="64"/>
      <c r="S17" s="63"/>
      <c r="T17" s="49"/>
      <c r="U17" s="49"/>
      <c r="V17" s="49"/>
      <c r="W17" s="64"/>
      <c r="X17" s="63"/>
      <c r="Y17" s="49"/>
      <c r="Z17" s="49"/>
      <c r="AA17" s="49"/>
      <c r="AB17" s="64"/>
      <c r="AC17" s="63"/>
      <c r="AD17" s="49"/>
      <c r="AE17" s="49"/>
      <c r="AF17" s="49"/>
      <c r="AG17" s="64"/>
      <c r="AH17" s="63"/>
      <c r="AI17" s="49"/>
      <c r="AJ17" s="49"/>
      <c r="AK17" s="49"/>
      <c r="AL17" s="64"/>
      <c r="AM17" s="63"/>
      <c r="AN17" s="49"/>
      <c r="AO17" s="49"/>
      <c r="AP17" s="49"/>
      <c r="AQ17" s="64"/>
      <c r="AR17" s="63"/>
      <c r="AS17" s="49"/>
      <c r="AT17" s="49"/>
      <c r="AU17" s="49"/>
      <c r="AV17" s="64"/>
      <c r="AW17" s="63"/>
      <c r="AX17" s="49"/>
      <c r="AY17" s="49"/>
      <c r="AZ17" s="49"/>
      <c r="BA17" s="64"/>
      <c r="BB17" s="63"/>
      <c r="BC17" s="49"/>
      <c r="BD17" s="49"/>
      <c r="BE17" s="49"/>
      <c r="BF17" s="64"/>
      <c r="BG17" s="63"/>
      <c r="BH17" s="49"/>
      <c r="BI17" s="49"/>
      <c r="BJ17" s="49"/>
      <c r="BK17" s="64"/>
      <c r="BL17" s="63"/>
      <c r="BM17" s="49"/>
      <c r="BN17" s="49"/>
      <c r="BO17" s="49"/>
      <c r="BP17" s="64"/>
      <c r="BT17" s="74"/>
      <c r="BU17" s="75"/>
      <c r="BV17" s="75"/>
      <c r="BW17" s="75"/>
      <c r="BX17" s="75"/>
      <c r="BY17" s="75"/>
      <c r="BZ17" s="75"/>
      <c r="CA17" s="75"/>
      <c r="CB17" s="75"/>
      <c r="CC17" s="75"/>
      <c r="CD17" s="75"/>
      <c r="CE17" s="75"/>
      <c r="CF17" s="75"/>
      <c r="CG17" s="75"/>
      <c r="CH17" s="76"/>
    </row>
    <row r="18" spans="4:86" x14ac:dyDescent="0.25">
      <c r="E18" s="6"/>
      <c r="F18" s="5"/>
      <c r="H18" s="59"/>
      <c r="I18" s="65">
        <v>31</v>
      </c>
      <c r="J18" s="66"/>
      <c r="K18" s="66"/>
      <c r="L18" s="66"/>
      <c r="M18" s="67"/>
      <c r="N18" s="65">
        <v>56</v>
      </c>
      <c r="O18" s="66"/>
      <c r="P18" s="66"/>
      <c r="Q18" s="66"/>
      <c r="R18" s="67"/>
      <c r="S18" s="65">
        <v>57</v>
      </c>
      <c r="T18" s="66"/>
      <c r="U18" s="66"/>
      <c r="V18" s="66"/>
      <c r="W18" s="67"/>
      <c r="X18" s="65">
        <v>58</v>
      </c>
      <c r="Y18" s="66"/>
      <c r="Z18" s="66"/>
      <c r="AA18" s="66"/>
      <c r="AB18" s="67"/>
      <c r="AC18" s="65">
        <v>59</v>
      </c>
      <c r="AD18" s="66"/>
      <c r="AE18" s="66"/>
      <c r="AF18" s="66"/>
      <c r="AG18" s="67"/>
      <c r="AH18" s="65">
        <v>60</v>
      </c>
      <c r="AI18" s="66"/>
      <c r="AJ18" s="66"/>
      <c r="AK18" s="66"/>
      <c r="AL18" s="67"/>
      <c r="AM18" s="65">
        <v>61</v>
      </c>
      <c r="AN18" s="66"/>
      <c r="AO18" s="66"/>
      <c r="AP18" s="66"/>
      <c r="AQ18" s="67"/>
      <c r="AR18" s="65">
        <v>62</v>
      </c>
      <c r="AS18" s="66"/>
      <c r="AT18" s="66"/>
      <c r="AU18" s="66"/>
      <c r="AV18" s="67"/>
      <c r="AW18" s="65">
        <v>63</v>
      </c>
      <c r="AX18" s="66"/>
      <c r="AY18" s="66"/>
      <c r="AZ18" s="66"/>
      <c r="BA18" s="67"/>
      <c r="BB18" s="65">
        <v>64</v>
      </c>
      <c r="BC18" s="66"/>
      <c r="BD18" s="66"/>
      <c r="BE18" s="66"/>
      <c r="BF18" s="67"/>
      <c r="BG18" s="65">
        <v>43</v>
      </c>
      <c r="BH18" s="66"/>
      <c r="BI18" s="66"/>
      <c r="BJ18" s="66"/>
      <c r="BK18" s="67"/>
      <c r="BL18" s="65">
        <v>14</v>
      </c>
      <c r="BM18" s="66"/>
      <c r="BN18" s="66"/>
      <c r="BO18" s="66"/>
      <c r="BP18" s="67"/>
      <c r="BT18" s="74"/>
      <c r="BU18" s="75"/>
      <c r="BV18" s="75"/>
      <c r="BW18" s="75"/>
      <c r="BX18" s="75"/>
      <c r="BY18" s="75"/>
      <c r="BZ18" s="75"/>
      <c r="CA18" s="75"/>
      <c r="CB18" s="75"/>
      <c r="CC18" s="75"/>
      <c r="CD18" s="75"/>
      <c r="CE18" s="75"/>
      <c r="CF18" s="75"/>
      <c r="CG18" s="75"/>
      <c r="CH18" s="76"/>
    </row>
    <row r="19" spans="4:86" x14ac:dyDescent="0.25">
      <c r="D19" s="49">
        <f>SUM(H5:H34)</f>
        <v>60</v>
      </c>
      <c r="E19" s="66"/>
      <c r="F19" s="66"/>
      <c r="G19" s="66"/>
      <c r="H19" s="59"/>
      <c r="I19" s="68"/>
      <c r="J19" s="69"/>
      <c r="K19" s="69"/>
      <c r="L19" s="69"/>
      <c r="M19" s="70"/>
      <c r="N19" s="68"/>
      <c r="O19" s="69"/>
      <c r="P19" s="69"/>
      <c r="Q19" s="69"/>
      <c r="R19" s="70"/>
      <c r="S19" s="68"/>
      <c r="T19" s="69"/>
      <c r="U19" s="69"/>
      <c r="V19" s="69"/>
      <c r="W19" s="70"/>
      <c r="X19" s="68"/>
      <c r="Y19" s="69"/>
      <c r="Z19" s="69"/>
      <c r="AA19" s="69"/>
      <c r="AB19" s="70"/>
      <c r="AC19" s="68"/>
      <c r="AD19" s="69"/>
      <c r="AE19" s="69"/>
      <c r="AF19" s="69"/>
      <c r="AG19" s="70"/>
      <c r="AH19" s="68"/>
      <c r="AI19" s="69"/>
      <c r="AJ19" s="69"/>
      <c r="AK19" s="69"/>
      <c r="AL19" s="70"/>
      <c r="AM19" s="68"/>
      <c r="AN19" s="69"/>
      <c r="AO19" s="69"/>
      <c r="AP19" s="69"/>
      <c r="AQ19" s="70"/>
      <c r="AR19" s="68"/>
      <c r="AS19" s="69"/>
      <c r="AT19" s="69"/>
      <c r="AU19" s="69"/>
      <c r="AV19" s="70"/>
      <c r="AW19" s="68"/>
      <c r="AX19" s="69"/>
      <c r="AY19" s="69"/>
      <c r="AZ19" s="69"/>
      <c r="BA19" s="70"/>
      <c r="BB19" s="68"/>
      <c r="BC19" s="69"/>
      <c r="BD19" s="69"/>
      <c r="BE19" s="69"/>
      <c r="BF19" s="70"/>
      <c r="BG19" s="68"/>
      <c r="BH19" s="69"/>
      <c r="BI19" s="69"/>
      <c r="BJ19" s="69"/>
      <c r="BK19" s="70"/>
      <c r="BL19" s="68"/>
      <c r="BM19" s="69"/>
      <c r="BN19" s="69"/>
      <c r="BO19" s="69"/>
      <c r="BP19" s="70"/>
      <c r="BT19" s="77"/>
      <c r="BU19" s="78"/>
      <c r="BV19" s="78"/>
      <c r="BW19" s="78"/>
      <c r="BX19" s="78"/>
      <c r="BY19" s="78"/>
      <c r="BZ19" s="78"/>
      <c r="CA19" s="78"/>
      <c r="CB19" s="78"/>
      <c r="CC19" s="78"/>
      <c r="CD19" s="78"/>
      <c r="CE19" s="78"/>
      <c r="CF19" s="78"/>
      <c r="CG19" s="78"/>
      <c r="CH19" s="79"/>
    </row>
    <row r="20" spans="4:86" x14ac:dyDescent="0.25">
      <c r="D20" s="66"/>
      <c r="E20" s="66"/>
      <c r="F20" s="66"/>
      <c r="G20" s="66"/>
      <c r="H20" s="59">
        <v>10</v>
      </c>
      <c r="I20" s="60">
        <f>100-1.33</f>
        <v>98.67</v>
      </c>
      <c r="J20" s="61"/>
      <c r="K20" s="61"/>
      <c r="L20" s="61"/>
      <c r="M20" s="62"/>
      <c r="N20" s="60">
        <f>I20-0.03</f>
        <v>98.64</v>
      </c>
      <c r="O20" s="61"/>
      <c r="P20" s="61"/>
      <c r="Q20" s="61"/>
      <c r="R20" s="62"/>
      <c r="S20" s="60">
        <f>SUM(S25+N25+N20)/3-0.03</f>
        <v>98.656666666666666</v>
      </c>
      <c r="T20" s="61"/>
      <c r="U20" s="61"/>
      <c r="V20" s="61"/>
      <c r="W20" s="62"/>
      <c r="X20" s="60">
        <f>X25-0.03</f>
        <v>98.59</v>
      </c>
      <c r="Y20" s="61"/>
      <c r="Z20" s="61"/>
      <c r="AA20" s="61"/>
      <c r="AB20" s="62"/>
      <c r="AC20" s="60">
        <f>AC25-0.03</f>
        <v>98.570000000000007</v>
      </c>
      <c r="AD20" s="61"/>
      <c r="AE20" s="61"/>
      <c r="AF20" s="61"/>
      <c r="AG20" s="62"/>
      <c r="AH20" s="60">
        <f>AH25-0.03</f>
        <v>98.58</v>
      </c>
      <c r="AI20" s="61"/>
      <c r="AJ20" s="61"/>
      <c r="AK20" s="61"/>
      <c r="AL20" s="62"/>
      <c r="AM20" s="60">
        <f>AM25-0.01</f>
        <v>98.61</v>
      </c>
      <c r="AN20" s="61"/>
      <c r="AO20" s="61"/>
      <c r="AP20" s="61"/>
      <c r="AQ20" s="62"/>
      <c r="AR20" s="60">
        <f>AR25-0.03</f>
        <v>98.59</v>
      </c>
      <c r="AS20" s="61"/>
      <c r="AT20" s="61"/>
      <c r="AU20" s="61"/>
      <c r="AV20" s="62"/>
      <c r="AW20" s="60">
        <f>AW25-0.01</f>
        <v>98.62</v>
      </c>
      <c r="AX20" s="61"/>
      <c r="AY20" s="61"/>
      <c r="AZ20" s="61"/>
      <c r="BA20" s="62"/>
      <c r="BB20" s="60">
        <f>SUM(BB25+BG25+BG20)/3-0.03</f>
        <v>98.664444444444456</v>
      </c>
      <c r="BC20" s="61"/>
      <c r="BD20" s="61"/>
      <c r="BE20" s="61"/>
      <c r="BF20" s="62"/>
      <c r="BG20" s="60">
        <f>BL20-0.03</f>
        <v>98.72</v>
      </c>
      <c r="BH20" s="61"/>
      <c r="BI20" s="61"/>
      <c r="BJ20" s="61"/>
      <c r="BK20" s="62"/>
      <c r="BL20" s="60">
        <f>100-1.25</f>
        <v>98.75</v>
      </c>
      <c r="BM20" s="61"/>
      <c r="BN20" s="61"/>
      <c r="BO20" s="61"/>
      <c r="BP20" s="62"/>
      <c r="BT20" s="115"/>
      <c r="BU20" s="72"/>
      <c r="BV20" s="72"/>
      <c r="BW20" s="72"/>
      <c r="BX20" s="72"/>
      <c r="BY20" s="72"/>
      <c r="BZ20" s="72"/>
      <c r="CA20" s="72"/>
      <c r="CB20" s="72"/>
      <c r="CC20" s="72"/>
      <c r="CD20" s="72"/>
      <c r="CE20" s="72"/>
      <c r="CF20" s="72"/>
      <c r="CG20" s="72"/>
      <c r="CH20" s="73"/>
    </row>
    <row r="21" spans="4:86" x14ac:dyDescent="0.25">
      <c r="E21" s="6"/>
      <c r="F21" s="5"/>
      <c r="H21" s="59"/>
      <c r="I21" s="63"/>
      <c r="J21" s="49"/>
      <c r="K21" s="49"/>
      <c r="L21" s="49"/>
      <c r="M21" s="64"/>
      <c r="N21" s="63"/>
      <c r="O21" s="49"/>
      <c r="P21" s="49"/>
      <c r="Q21" s="49"/>
      <c r="R21" s="64"/>
      <c r="S21" s="63"/>
      <c r="T21" s="49"/>
      <c r="U21" s="49"/>
      <c r="V21" s="49"/>
      <c r="W21" s="64"/>
      <c r="X21" s="63"/>
      <c r="Y21" s="49"/>
      <c r="Z21" s="49"/>
      <c r="AA21" s="49"/>
      <c r="AB21" s="64"/>
      <c r="AC21" s="63"/>
      <c r="AD21" s="49"/>
      <c r="AE21" s="49"/>
      <c r="AF21" s="49"/>
      <c r="AG21" s="64"/>
      <c r="AH21" s="63"/>
      <c r="AI21" s="49"/>
      <c r="AJ21" s="49"/>
      <c r="AK21" s="49"/>
      <c r="AL21" s="64"/>
      <c r="AM21" s="63"/>
      <c r="AN21" s="49"/>
      <c r="AO21" s="49"/>
      <c r="AP21" s="49"/>
      <c r="AQ21" s="64"/>
      <c r="AR21" s="63"/>
      <c r="AS21" s="49"/>
      <c r="AT21" s="49"/>
      <c r="AU21" s="49"/>
      <c r="AV21" s="64"/>
      <c r="AW21" s="63"/>
      <c r="AX21" s="49"/>
      <c r="AY21" s="49"/>
      <c r="AZ21" s="49"/>
      <c r="BA21" s="64"/>
      <c r="BB21" s="63"/>
      <c r="BC21" s="49"/>
      <c r="BD21" s="49"/>
      <c r="BE21" s="49"/>
      <c r="BF21" s="64"/>
      <c r="BG21" s="63"/>
      <c r="BH21" s="49"/>
      <c r="BI21" s="49"/>
      <c r="BJ21" s="49"/>
      <c r="BK21" s="64"/>
      <c r="BL21" s="63"/>
      <c r="BM21" s="49"/>
      <c r="BN21" s="49"/>
      <c r="BO21" s="49"/>
      <c r="BP21" s="64"/>
      <c r="BT21" s="74"/>
      <c r="BU21" s="75"/>
      <c r="BV21" s="75"/>
      <c r="BW21" s="75"/>
      <c r="BX21" s="75"/>
      <c r="BY21" s="75"/>
      <c r="BZ21" s="75"/>
      <c r="CA21" s="75"/>
      <c r="CB21" s="75"/>
      <c r="CC21" s="75"/>
      <c r="CD21" s="75"/>
      <c r="CE21" s="75"/>
      <c r="CF21" s="75"/>
      <c r="CG21" s="75"/>
      <c r="CH21" s="76"/>
    </row>
    <row r="22" spans="4:86" x14ac:dyDescent="0.25">
      <c r="E22" s="6"/>
      <c r="F22" s="5"/>
      <c r="H22" s="59"/>
      <c r="I22" s="63"/>
      <c r="J22" s="49"/>
      <c r="K22" s="49"/>
      <c r="L22" s="49"/>
      <c r="M22" s="64"/>
      <c r="N22" s="63"/>
      <c r="O22" s="49"/>
      <c r="P22" s="49"/>
      <c r="Q22" s="49"/>
      <c r="R22" s="64"/>
      <c r="S22" s="63"/>
      <c r="T22" s="49"/>
      <c r="U22" s="49"/>
      <c r="V22" s="49"/>
      <c r="W22" s="64"/>
      <c r="X22" s="63"/>
      <c r="Y22" s="49"/>
      <c r="Z22" s="49"/>
      <c r="AA22" s="49"/>
      <c r="AB22" s="64"/>
      <c r="AC22" s="63"/>
      <c r="AD22" s="49"/>
      <c r="AE22" s="49"/>
      <c r="AF22" s="49"/>
      <c r="AG22" s="64"/>
      <c r="AH22" s="63"/>
      <c r="AI22" s="49"/>
      <c r="AJ22" s="49"/>
      <c r="AK22" s="49"/>
      <c r="AL22" s="64"/>
      <c r="AM22" s="63"/>
      <c r="AN22" s="49"/>
      <c r="AO22" s="49"/>
      <c r="AP22" s="49"/>
      <c r="AQ22" s="64"/>
      <c r="AR22" s="63"/>
      <c r="AS22" s="49"/>
      <c r="AT22" s="49"/>
      <c r="AU22" s="49"/>
      <c r="AV22" s="64"/>
      <c r="AW22" s="63"/>
      <c r="AX22" s="49"/>
      <c r="AY22" s="49"/>
      <c r="AZ22" s="49"/>
      <c r="BA22" s="64"/>
      <c r="BB22" s="63"/>
      <c r="BC22" s="49"/>
      <c r="BD22" s="49"/>
      <c r="BE22" s="49"/>
      <c r="BF22" s="64"/>
      <c r="BG22" s="63"/>
      <c r="BH22" s="49"/>
      <c r="BI22" s="49"/>
      <c r="BJ22" s="49"/>
      <c r="BK22" s="64"/>
      <c r="BL22" s="63"/>
      <c r="BM22" s="49"/>
      <c r="BN22" s="49"/>
      <c r="BO22" s="49"/>
      <c r="BP22" s="64"/>
      <c r="BT22" s="74"/>
      <c r="BU22" s="75"/>
      <c r="BV22" s="75"/>
      <c r="BW22" s="75"/>
      <c r="BX22" s="75"/>
      <c r="BY22" s="75"/>
      <c r="BZ22" s="75"/>
      <c r="CA22" s="75"/>
      <c r="CB22" s="75"/>
      <c r="CC22" s="75"/>
      <c r="CD22" s="75"/>
      <c r="CE22" s="75"/>
      <c r="CF22" s="75"/>
      <c r="CG22" s="75"/>
      <c r="CH22" s="76"/>
    </row>
    <row r="23" spans="4:86" x14ac:dyDescent="0.25">
      <c r="E23" s="6"/>
      <c r="F23" s="5"/>
      <c r="H23" s="59"/>
      <c r="I23" s="65">
        <v>30</v>
      </c>
      <c r="J23" s="66"/>
      <c r="K23" s="66"/>
      <c r="L23" s="66"/>
      <c r="M23" s="67"/>
      <c r="N23" s="65">
        <v>55</v>
      </c>
      <c r="O23" s="66"/>
      <c r="P23" s="66"/>
      <c r="Q23" s="66"/>
      <c r="R23" s="67"/>
      <c r="S23" s="65">
        <v>72</v>
      </c>
      <c r="T23" s="66"/>
      <c r="U23" s="66"/>
      <c r="V23" s="66"/>
      <c r="W23" s="67"/>
      <c r="X23" s="65">
        <v>71</v>
      </c>
      <c r="Y23" s="66"/>
      <c r="Z23" s="66"/>
      <c r="AA23" s="66"/>
      <c r="AB23" s="67"/>
      <c r="AC23" s="65">
        <v>70</v>
      </c>
      <c r="AD23" s="66"/>
      <c r="AE23" s="66"/>
      <c r="AF23" s="66"/>
      <c r="AG23" s="67"/>
      <c r="AH23" s="65">
        <v>69</v>
      </c>
      <c r="AI23" s="66"/>
      <c r="AJ23" s="66"/>
      <c r="AK23" s="66"/>
      <c r="AL23" s="67"/>
      <c r="AM23" s="65">
        <v>68</v>
      </c>
      <c r="AN23" s="66"/>
      <c r="AO23" s="66"/>
      <c r="AP23" s="66"/>
      <c r="AQ23" s="67"/>
      <c r="AR23" s="65">
        <v>67</v>
      </c>
      <c r="AS23" s="66"/>
      <c r="AT23" s="66"/>
      <c r="AU23" s="66"/>
      <c r="AV23" s="67"/>
      <c r="AW23" s="65">
        <v>66</v>
      </c>
      <c r="AX23" s="66"/>
      <c r="AY23" s="66"/>
      <c r="AZ23" s="66"/>
      <c r="BA23" s="67"/>
      <c r="BB23" s="65">
        <v>65</v>
      </c>
      <c r="BC23" s="66"/>
      <c r="BD23" s="66"/>
      <c r="BE23" s="66"/>
      <c r="BF23" s="67"/>
      <c r="BG23" s="65">
        <v>44</v>
      </c>
      <c r="BH23" s="66"/>
      <c r="BI23" s="66"/>
      <c r="BJ23" s="66"/>
      <c r="BK23" s="67"/>
      <c r="BL23" s="65">
        <v>15</v>
      </c>
      <c r="BM23" s="66"/>
      <c r="BN23" s="66"/>
      <c r="BO23" s="66"/>
      <c r="BP23" s="67"/>
      <c r="BT23" s="77"/>
      <c r="BU23" s="78"/>
      <c r="BV23" s="78"/>
      <c r="BW23" s="78"/>
      <c r="BX23" s="78"/>
      <c r="BY23" s="78"/>
      <c r="BZ23" s="78"/>
      <c r="CA23" s="78"/>
      <c r="CB23" s="78"/>
      <c r="CC23" s="78"/>
      <c r="CD23" s="78"/>
      <c r="CE23" s="78"/>
      <c r="CF23" s="78"/>
      <c r="CG23" s="78"/>
      <c r="CH23" s="79"/>
    </row>
    <row r="24" spans="4:86" x14ac:dyDescent="0.25">
      <c r="E24" s="6"/>
      <c r="F24" s="5"/>
      <c r="H24" s="59"/>
      <c r="I24" s="68"/>
      <c r="J24" s="69"/>
      <c r="K24" s="69"/>
      <c r="L24" s="69"/>
      <c r="M24" s="70"/>
      <c r="N24" s="68"/>
      <c r="O24" s="69"/>
      <c r="P24" s="69"/>
      <c r="Q24" s="69"/>
      <c r="R24" s="70"/>
      <c r="S24" s="68"/>
      <c r="T24" s="69"/>
      <c r="U24" s="69"/>
      <c r="V24" s="69"/>
      <c r="W24" s="70"/>
      <c r="X24" s="68"/>
      <c r="Y24" s="69"/>
      <c r="Z24" s="69"/>
      <c r="AA24" s="69"/>
      <c r="AB24" s="70"/>
      <c r="AC24" s="68"/>
      <c r="AD24" s="69"/>
      <c r="AE24" s="69"/>
      <c r="AF24" s="69"/>
      <c r="AG24" s="70"/>
      <c r="AH24" s="68"/>
      <c r="AI24" s="69"/>
      <c r="AJ24" s="69"/>
      <c r="AK24" s="69"/>
      <c r="AL24" s="70"/>
      <c r="AM24" s="68"/>
      <c r="AN24" s="69"/>
      <c r="AO24" s="69"/>
      <c r="AP24" s="69"/>
      <c r="AQ24" s="70"/>
      <c r="AR24" s="68"/>
      <c r="AS24" s="69"/>
      <c r="AT24" s="69"/>
      <c r="AU24" s="69"/>
      <c r="AV24" s="70"/>
      <c r="AW24" s="68"/>
      <c r="AX24" s="69"/>
      <c r="AY24" s="69"/>
      <c r="AZ24" s="69"/>
      <c r="BA24" s="70"/>
      <c r="BB24" s="68"/>
      <c r="BC24" s="69"/>
      <c r="BD24" s="69"/>
      <c r="BE24" s="69"/>
      <c r="BF24" s="70"/>
      <c r="BG24" s="68"/>
      <c r="BH24" s="69"/>
      <c r="BI24" s="69"/>
      <c r="BJ24" s="69"/>
      <c r="BK24" s="70"/>
      <c r="BL24" s="68"/>
      <c r="BM24" s="69"/>
      <c r="BN24" s="69"/>
      <c r="BO24" s="69"/>
      <c r="BP24" s="70"/>
      <c r="BT24" s="50"/>
      <c r="BU24" s="51"/>
      <c r="BV24" s="51"/>
      <c r="BW24" s="51"/>
      <c r="BX24" s="51"/>
      <c r="BY24" s="51"/>
      <c r="BZ24" s="51"/>
      <c r="CA24" s="51"/>
      <c r="CB24" s="51"/>
      <c r="CC24" s="51"/>
      <c r="CD24" s="51"/>
      <c r="CE24" s="51"/>
      <c r="CF24" s="51"/>
      <c r="CG24" s="51"/>
      <c r="CH24" s="52"/>
    </row>
    <row r="25" spans="4:86" x14ac:dyDescent="0.25">
      <c r="E25" s="6"/>
      <c r="F25" s="5"/>
      <c r="H25" s="59">
        <v>10</v>
      </c>
      <c r="I25" s="60">
        <f>100-1.37</f>
        <v>98.63</v>
      </c>
      <c r="J25" s="61"/>
      <c r="K25" s="61"/>
      <c r="L25" s="61"/>
      <c r="M25" s="62"/>
      <c r="N25" s="60">
        <f>SUM(N30+I30+I25)/3-0.02</f>
        <v>98.710000000000008</v>
      </c>
      <c r="O25" s="61"/>
      <c r="P25" s="61"/>
      <c r="Q25" s="61"/>
      <c r="R25" s="62"/>
      <c r="S25" s="60">
        <f>S30-0.03</f>
        <v>98.71</v>
      </c>
      <c r="T25" s="61"/>
      <c r="U25" s="61"/>
      <c r="V25" s="61"/>
      <c r="W25" s="62"/>
      <c r="X25" s="60">
        <f>X30-0.03</f>
        <v>98.62</v>
      </c>
      <c r="Y25" s="61"/>
      <c r="Z25" s="61"/>
      <c r="AA25" s="61"/>
      <c r="AB25" s="62"/>
      <c r="AC25" s="60">
        <f>AC30-0.02</f>
        <v>98.600000000000009</v>
      </c>
      <c r="AD25" s="61"/>
      <c r="AE25" s="61"/>
      <c r="AF25" s="61"/>
      <c r="AG25" s="62"/>
      <c r="AH25" s="60">
        <f>AH30-0.05</f>
        <v>98.61</v>
      </c>
      <c r="AI25" s="61"/>
      <c r="AJ25" s="61"/>
      <c r="AK25" s="61"/>
      <c r="AL25" s="62"/>
      <c r="AM25" s="60">
        <f>AM30-0.05</f>
        <v>98.62</v>
      </c>
      <c r="AN25" s="61"/>
      <c r="AO25" s="61"/>
      <c r="AP25" s="61"/>
      <c r="AQ25" s="62"/>
      <c r="AR25" s="60">
        <f>AR30-0.05</f>
        <v>98.62</v>
      </c>
      <c r="AS25" s="61"/>
      <c r="AT25" s="61"/>
      <c r="AU25" s="61"/>
      <c r="AV25" s="62"/>
      <c r="AW25" s="60">
        <f>AW30-0.05</f>
        <v>98.63000000000001</v>
      </c>
      <c r="AX25" s="61"/>
      <c r="AY25" s="61"/>
      <c r="AZ25" s="61"/>
      <c r="BA25" s="62"/>
      <c r="BB25" s="60">
        <f>BB30-0.03</f>
        <v>98.679999999999993</v>
      </c>
      <c r="BC25" s="61"/>
      <c r="BD25" s="61"/>
      <c r="BE25" s="61"/>
      <c r="BF25" s="62"/>
      <c r="BG25" s="60">
        <f>SUM(BG30+BL30+BL25)/3-0.05</f>
        <v>98.683333333333337</v>
      </c>
      <c r="BH25" s="61"/>
      <c r="BI25" s="61"/>
      <c r="BJ25" s="61"/>
      <c r="BK25" s="62"/>
      <c r="BL25" s="60">
        <f>100-1.26</f>
        <v>98.74</v>
      </c>
      <c r="BM25" s="61"/>
      <c r="BN25" s="61"/>
      <c r="BO25" s="61"/>
      <c r="BP25" s="62"/>
      <c r="BT25" s="53"/>
      <c r="BU25" s="54"/>
      <c r="BV25" s="54"/>
      <c r="BW25" s="54"/>
      <c r="BX25" s="54"/>
      <c r="BY25" s="54"/>
      <c r="BZ25" s="54"/>
      <c r="CA25" s="54"/>
      <c r="CB25" s="54"/>
      <c r="CC25" s="54"/>
      <c r="CD25" s="54"/>
      <c r="CE25" s="54"/>
      <c r="CF25" s="54"/>
      <c r="CG25" s="54"/>
      <c r="CH25" s="55"/>
    </row>
    <row r="26" spans="4:86" x14ac:dyDescent="0.25">
      <c r="E26" s="6"/>
      <c r="F26" s="5"/>
      <c r="H26" s="59"/>
      <c r="I26" s="63"/>
      <c r="J26" s="49"/>
      <c r="K26" s="49"/>
      <c r="L26" s="49"/>
      <c r="M26" s="64"/>
      <c r="N26" s="63"/>
      <c r="O26" s="49"/>
      <c r="P26" s="49"/>
      <c r="Q26" s="49"/>
      <c r="R26" s="64"/>
      <c r="S26" s="63"/>
      <c r="T26" s="49"/>
      <c r="U26" s="49"/>
      <c r="V26" s="49"/>
      <c r="W26" s="64"/>
      <c r="X26" s="63"/>
      <c r="Y26" s="49"/>
      <c r="Z26" s="49"/>
      <c r="AA26" s="49"/>
      <c r="AB26" s="64"/>
      <c r="AC26" s="63"/>
      <c r="AD26" s="49"/>
      <c r="AE26" s="49"/>
      <c r="AF26" s="49"/>
      <c r="AG26" s="64"/>
      <c r="AH26" s="63"/>
      <c r="AI26" s="49"/>
      <c r="AJ26" s="49"/>
      <c r="AK26" s="49"/>
      <c r="AL26" s="64"/>
      <c r="AM26" s="63"/>
      <c r="AN26" s="49"/>
      <c r="AO26" s="49"/>
      <c r="AP26" s="49"/>
      <c r="AQ26" s="64"/>
      <c r="AR26" s="63"/>
      <c r="AS26" s="49"/>
      <c r="AT26" s="49"/>
      <c r="AU26" s="49"/>
      <c r="AV26" s="64"/>
      <c r="AW26" s="63"/>
      <c r="AX26" s="49"/>
      <c r="AY26" s="49"/>
      <c r="AZ26" s="49"/>
      <c r="BA26" s="64"/>
      <c r="BB26" s="63"/>
      <c r="BC26" s="49"/>
      <c r="BD26" s="49"/>
      <c r="BE26" s="49"/>
      <c r="BF26" s="64"/>
      <c r="BG26" s="63"/>
      <c r="BH26" s="49"/>
      <c r="BI26" s="49"/>
      <c r="BJ26" s="49"/>
      <c r="BK26" s="64"/>
      <c r="BL26" s="63"/>
      <c r="BM26" s="49"/>
      <c r="BN26" s="49"/>
      <c r="BO26" s="49"/>
      <c r="BP26" s="64"/>
      <c r="BT26" s="50" t="s">
        <v>8</v>
      </c>
      <c r="BU26" s="51"/>
      <c r="BV26" s="51"/>
      <c r="BW26" s="51"/>
      <c r="BX26" s="51"/>
      <c r="BY26" s="51"/>
      <c r="BZ26" s="51"/>
      <c r="CA26" s="51"/>
      <c r="CB26" s="51"/>
      <c r="CC26" s="51"/>
      <c r="CD26" s="51"/>
      <c r="CE26" s="51"/>
      <c r="CF26" s="51"/>
      <c r="CG26" s="51"/>
      <c r="CH26" s="52"/>
    </row>
    <row r="27" spans="4:86" x14ac:dyDescent="0.25">
      <c r="E27" s="6"/>
      <c r="F27" s="5"/>
      <c r="H27" s="59"/>
      <c r="I27" s="63"/>
      <c r="J27" s="49"/>
      <c r="K27" s="49"/>
      <c r="L27" s="49"/>
      <c r="M27" s="64"/>
      <c r="N27" s="63"/>
      <c r="O27" s="49"/>
      <c r="P27" s="49"/>
      <c r="Q27" s="49"/>
      <c r="R27" s="64"/>
      <c r="S27" s="63"/>
      <c r="T27" s="49"/>
      <c r="U27" s="49"/>
      <c r="V27" s="49"/>
      <c r="W27" s="64"/>
      <c r="X27" s="63"/>
      <c r="Y27" s="49"/>
      <c r="Z27" s="49"/>
      <c r="AA27" s="49"/>
      <c r="AB27" s="64"/>
      <c r="AC27" s="63"/>
      <c r="AD27" s="49"/>
      <c r="AE27" s="49"/>
      <c r="AF27" s="49"/>
      <c r="AG27" s="64"/>
      <c r="AH27" s="63"/>
      <c r="AI27" s="49"/>
      <c r="AJ27" s="49"/>
      <c r="AK27" s="49"/>
      <c r="AL27" s="64"/>
      <c r="AM27" s="63"/>
      <c r="AN27" s="49"/>
      <c r="AO27" s="49"/>
      <c r="AP27" s="49"/>
      <c r="AQ27" s="64"/>
      <c r="AR27" s="63"/>
      <c r="AS27" s="49"/>
      <c r="AT27" s="49"/>
      <c r="AU27" s="49"/>
      <c r="AV27" s="64"/>
      <c r="AW27" s="63"/>
      <c r="AX27" s="49"/>
      <c r="AY27" s="49"/>
      <c r="AZ27" s="49"/>
      <c r="BA27" s="64"/>
      <c r="BB27" s="63"/>
      <c r="BC27" s="49"/>
      <c r="BD27" s="49"/>
      <c r="BE27" s="49"/>
      <c r="BF27" s="64"/>
      <c r="BG27" s="63"/>
      <c r="BH27" s="49"/>
      <c r="BI27" s="49"/>
      <c r="BJ27" s="49"/>
      <c r="BK27" s="64"/>
      <c r="BL27" s="63"/>
      <c r="BM27" s="49"/>
      <c r="BN27" s="49"/>
      <c r="BO27" s="49"/>
      <c r="BP27" s="64"/>
      <c r="BT27" s="53"/>
      <c r="BU27" s="54"/>
      <c r="BV27" s="54"/>
      <c r="BW27" s="54"/>
      <c r="BX27" s="54"/>
      <c r="BY27" s="54"/>
      <c r="BZ27" s="54"/>
      <c r="CA27" s="54"/>
      <c r="CB27" s="54"/>
      <c r="CC27" s="54"/>
      <c r="CD27" s="54"/>
      <c r="CE27" s="54"/>
      <c r="CF27" s="54"/>
      <c r="CG27" s="54"/>
      <c r="CH27" s="55"/>
    </row>
    <row r="28" spans="4:86" x14ac:dyDescent="0.25">
      <c r="E28" s="6"/>
      <c r="F28" s="5"/>
      <c r="H28" s="59"/>
      <c r="I28" s="65">
        <v>29</v>
      </c>
      <c r="J28" s="66"/>
      <c r="K28" s="66"/>
      <c r="L28" s="66"/>
      <c r="M28" s="67"/>
      <c r="N28" s="65">
        <v>54</v>
      </c>
      <c r="O28" s="66"/>
      <c r="P28" s="66"/>
      <c r="Q28" s="66"/>
      <c r="R28" s="67"/>
      <c r="S28" s="65">
        <v>53</v>
      </c>
      <c r="T28" s="66"/>
      <c r="U28" s="66"/>
      <c r="V28" s="66"/>
      <c r="W28" s="67"/>
      <c r="X28" s="65">
        <v>52</v>
      </c>
      <c r="Y28" s="66"/>
      <c r="Z28" s="66"/>
      <c r="AA28" s="66"/>
      <c r="AB28" s="67"/>
      <c r="AC28" s="65">
        <v>51</v>
      </c>
      <c r="AD28" s="66"/>
      <c r="AE28" s="66"/>
      <c r="AF28" s="66"/>
      <c r="AG28" s="67"/>
      <c r="AH28" s="65">
        <v>50</v>
      </c>
      <c r="AI28" s="66"/>
      <c r="AJ28" s="66"/>
      <c r="AK28" s="66"/>
      <c r="AL28" s="67"/>
      <c r="AM28" s="65">
        <v>49</v>
      </c>
      <c r="AN28" s="66"/>
      <c r="AO28" s="66"/>
      <c r="AP28" s="66"/>
      <c r="AQ28" s="67"/>
      <c r="AR28" s="65">
        <v>48</v>
      </c>
      <c r="AS28" s="66"/>
      <c r="AT28" s="66"/>
      <c r="AU28" s="66"/>
      <c r="AV28" s="67"/>
      <c r="AW28" s="65">
        <v>47</v>
      </c>
      <c r="AX28" s="66"/>
      <c r="AY28" s="66"/>
      <c r="AZ28" s="66"/>
      <c r="BA28" s="67"/>
      <c r="BB28" s="65">
        <v>46</v>
      </c>
      <c r="BC28" s="66"/>
      <c r="BD28" s="66"/>
      <c r="BE28" s="66"/>
      <c r="BF28" s="67"/>
      <c r="BG28" s="65">
        <v>45</v>
      </c>
      <c r="BH28" s="66"/>
      <c r="BI28" s="66"/>
      <c r="BJ28" s="66"/>
      <c r="BK28" s="67"/>
      <c r="BL28" s="65">
        <v>16</v>
      </c>
      <c r="BM28" s="66"/>
      <c r="BN28" s="66"/>
      <c r="BO28" s="66"/>
      <c r="BP28" s="67"/>
      <c r="BT28" s="50" t="s">
        <v>6</v>
      </c>
      <c r="BU28" s="51"/>
      <c r="BV28" s="51"/>
      <c r="BW28" s="51"/>
      <c r="BX28" s="51"/>
      <c r="BY28" s="51"/>
      <c r="BZ28" s="51"/>
      <c r="CA28" s="51"/>
      <c r="CB28" s="51"/>
      <c r="CC28" s="51"/>
      <c r="CD28" s="51"/>
      <c r="CE28" s="51"/>
      <c r="CF28" s="51"/>
      <c r="CG28" s="51"/>
      <c r="CH28" s="52"/>
    </row>
    <row r="29" spans="4:86" x14ac:dyDescent="0.25">
      <c r="E29" s="6"/>
      <c r="F29" s="5"/>
      <c r="H29" s="59"/>
      <c r="I29" s="68"/>
      <c r="J29" s="69"/>
      <c r="K29" s="69"/>
      <c r="L29" s="69"/>
      <c r="M29" s="70"/>
      <c r="N29" s="68"/>
      <c r="O29" s="69"/>
      <c r="P29" s="69"/>
      <c r="Q29" s="69"/>
      <c r="R29" s="70"/>
      <c r="S29" s="68"/>
      <c r="T29" s="69"/>
      <c r="U29" s="69"/>
      <c r="V29" s="69"/>
      <c r="W29" s="70"/>
      <c r="X29" s="68"/>
      <c r="Y29" s="69"/>
      <c r="Z29" s="69"/>
      <c r="AA29" s="69"/>
      <c r="AB29" s="70"/>
      <c r="AC29" s="68"/>
      <c r="AD29" s="69"/>
      <c r="AE29" s="69"/>
      <c r="AF29" s="69"/>
      <c r="AG29" s="70"/>
      <c r="AH29" s="68"/>
      <c r="AI29" s="69"/>
      <c r="AJ29" s="69"/>
      <c r="AK29" s="69"/>
      <c r="AL29" s="70"/>
      <c r="AM29" s="68"/>
      <c r="AN29" s="69"/>
      <c r="AO29" s="69"/>
      <c r="AP29" s="69"/>
      <c r="AQ29" s="70"/>
      <c r="AR29" s="68"/>
      <c r="AS29" s="69"/>
      <c r="AT29" s="69"/>
      <c r="AU29" s="69"/>
      <c r="AV29" s="70"/>
      <c r="AW29" s="68"/>
      <c r="AX29" s="69"/>
      <c r="AY29" s="69"/>
      <c r="AZ29" s="69"/>
      <c r="BA29" s="70"/>
      <c r="BB29" s="68"/>
      <c r="BC29" s="69"/>
      <c r="BD29" s="69"/>
      <c r="BE29" s="69"/>
      <c r="BF29" s="70"/>
      <c r="BG29" s="68"/>
      <c r="BH29" s="69"/>
      <c r="BI29" s="69"/>
      <c r="BJ29" s="69"/>
      <c r="BK29" s="70"/>
      <c r="BL29" s="68"/>
      <c r="BM29" s="69"/>
      <c r="BN29" s="69"/>
      <c r="BO29" s="69"/>
      <c r="BP29" s="70"/>
      <c r="BT29" s="53"/>
      <c r="BU29" s="54"/>
      <c r="BV29" s="54"/>
      <c r="BW29" s="54"/>
      <c r="BX29" s="54"/>
      <c r="BY29" s="54"/>
      <c r="BZ29" s="54"/>
      <c r="CA29" s="54"/>
      <c r="CB29" s="54"/>
      <c r="CC29" s="54"/>
      <c r="CD29" s="54"/>
      <c r="CE29" s="54"/>
      <c r="CF29" s="54"/>
      <c r="CG29" s="54"/>
      <c r="CH29" s="55"/>
    </row>
    <row r="30" spans="4:86" x14ac:dyDescent="0.25">
      <c r="E30" s="6"/>
      <c r="F30" s="5"/>
      <c r="H30" s="59">
        <v>10</v>
      </c>
      <c r="I30" s="60">
        <f>100-1.22</f>
        <v>98.78</v>
      </c>
      <c r="J30" s="61"/>
      <c r="K30" s="61"/>
      <c r="L30" s="61"/>
      <c r="M30" s="62"/>
      <c r="N30" s="60">
        <f>100-1.22</f>
        <v>98.78</v>
      </c>
      <c r="O30" s="61"/>
      <c r="P30" s="61"/>
      <c r="Q30" s="61"/>
      <c r="R30" s="62"/>
      <c r="S30" s="60">
        <f>100-1.26</f>
        <v>98.74</v>
      </c>
      <c r="T30" s="61"/>
      <c r="U30" s="61"/>
      <c r="V30" s="61"/>
      <c r="W30" s="62"/>
      <c r="X30" s="60">
        <f>100-1.35</f>
        <v>98.65</v>
      </c>
      <c r="Y30" s="61"/>
      <c r="Z30" s="61"/>
      <c r="AA30" s="61"/>
      <c r="AB30" s="62"/>
      <c r="AC30" s="60">
        <f>100-1.38</f>
        <v>98.62</v>
      </c>
      <c r="AD30" s="61"/>
      <c r="AE30" s="61"/>
      <c r="AF30" s="61"/>
      <c r="AG30" s="62"/>
      <c r="AH30" s="60">
        <f>100-1.34</f>
        <v>98.66</v>
      </c>
      <c r="AI30" s="61"/>
      <c r="AJ30" s="61"/>
      <c r="AK30" s="61"/>
      <c r="AL30" s="62"/>
      <c r="AM30" s="60">
        <f>100-1.33</f>
        <v>98.67</v>
      </c>
      <c r="AN30" s="61"/>
      <c r="AO30" s="61"/>
      <c r="AP30" s="61"/>
      <c r="AQ30" s="62"/>
      <c r="AR30" s="60">
        <f>100-1.33</f>
        <v>98.67</v>
      </c>
      <c r="AS30" s="61"/>
      <c r="AT30" s="61"/>
      <c r="AU30" s="61"/>
      <c r="AV30" s="62"/>
      <c r="AW30" s="60">
        <f>100-1.32</f>
        <v>98.68</v>
      </c>
      <c r="AX30" s="61"/>
      <c r="AY30" s="61"/>
      <c r="AZ30" s="61"/>
      <c r="BA30" s="62"/>
      <c r="BB30" s="60">
        <f>100-1.29</f>
        <v>98.71</v>
      </c>
      <c r="BC30" s="61"/>
      <c r="BD30" s="61"/>
      <c r="BE30" s="61"/>
      <c r="BF30" s="62"/>
      <c r="BG30" s="60">
        <f>100-1.29</f>
        <v>98.71</v>
      </c>
      <c r="BH30" s="61"/>
      <c r="BI30" s="61"/>
      <c r="BJ30" s="61"/>
      <c r="BK30" s="62"/>
      <c r="BL30" s="60">
        <f>100-1.25</f>
        <v>98.75</v>
      </c>
      <c r="BM30" s="61"/>
      <c r="BN30" s="61"/>
      <c r="BO30" s="61"/>
      <c r="BP30" s="62"/>
      <c r="BT30" s="50" t="s">
        <v>7</v>
      </c>
      <c r="BU30" s="51"/>
      <c r="BV30" s="51"/>
      <c r="BW30" s="51"/>
      <c r="BX30" s="51"/>
      <c r="BY30" s="51"/>
      <c r="BZ30" s="51"/>
      <c r="CA30" s="51"/>
      <c r="CB30" s="51"/>
      <c r="CC30" s="51"/>
      <c r="CD30" s="51"/>
      <c r="CE30" s="51"/>
      <c r="CF30" s="51"/>
      <c r="CG30" s="51"/>
      <c r="CH30" s="52"/>
    </row>
    <row r="31" spans="4:86" x14ac:dyDescent="0.25">
      <c r="E31" s="6"/>
      <c r="F31" s="5"/>
      <c r="H31" s="59"/>
      <c r="I31" s="63"/>
      <c r="J31" s="49"/>
      <c r="K31" s="49"/>
      <c r="L31" s="49"/>
      <c r="M31" s="64"/>
      <c r="N31" s="63"/>
      <c r="O31" s="49"/>
      <c r="P31" s="49"/>
      <c r="Q31" s="49"/>
      <c r="R31" s="64"/>
      <c r="S31" s="63"/>
      <c r="T31" s="49"/>
      <c r="U31" s="49"/>
      <c r="V31" s="49"/>
      <c r="W31" s="64"/>
      <c r="X31" s="63"/>
      <c r="Y31" s="49"/>
      <c r="Z31" s="49"/>
      <c r="AA31" s="49"/>
      <c r="AB31" s="64"/>
      <c r="AC31" s="63"/>
      <c r="AD31" s="49"/>
      <c r="AE31" s="49"/>
      <c r="AF31" s="49"/>
      <c r="AG31" s="64"/>
      <c r="AH31" s="63"/>
      <c r="AI31" s="49"/>
      <c r="AJ31" s="49"/>
      <c r="AK31" s="49"/>
      <c r="AL31" s="64"/>
      <c r="AM31" s="63"/>
      <c r="AN31" s="49"/>
      <c r="AO31" s="49"/>
      <c r="AP31" s="49"/>
      <c r="AQ31" s="64"/>
      <c r="AR31" s="63"/>
      <c r="AS31" s="49"/>
      <c r="AT31" s="49"/>
      <c r="AU31" s="49"/>
      <c r="AV31" s="64"/>
      <c r="AW31" s="63"/>
      <c r="AX31" s="49"/>
      <c r="AY31" s="49"/>
      <c r="AZ31" s="49"/>
      <c r="BA31" s="64"/>
      <c r="BB31" s="63"/>
      <c r="BC31" s="49"/>
      <c r="BD31" s="49"/>
      <c r="BE31" s="49"/>
      <c r="BF31" s="64"/>
      <c r="BG31" s="63"/>
      <c r="BH31" s="49"/>
      <c r="BI31" s="49"/>
      <c r="BJ31" s="49"/>
      <c r="BK31" s="64"/>
      <c r="BL31" s="63"/>
      <c r="BM31" s="49"/>
      <c r="BN31" s="49"/>
      <c r="BO31" s="49"/>
      <c r="BP31" s="64"/>
      <c r="BT31" s="53"/>
      <c r="BU31" s="54"/>
      <c r="BV31" s="54"/>
      <c r="BW31" s="54"/>
      <c r="BX31" s="54"/>
      <c r="BY31" s="54"/>
      <c r="BZ31" s="54"/>
      <c r="CA31" s="54"/>
      <c r="CB31" s="54"/>
      <c r="CC31" s="54"/>
      <c r="CD31" s="54"/>
      <c r="CE31" s="54"/>
      <c r="CF31" s="54"/>
      <c r="CG31" s="54"/>
      <c r="CH31" s="55"/>
    </row>
    <row r="32" spans="4:86" x14ac:dyDescent="0.25">
      <c r="E32" s="6"/>
      <c r="F32" s="5"/>
      <c r="H32" s="59"/>
      <c r="I32" s="63"/>
      <c r="J32" s="49"/>
      <c r="K32" s="49"/>
      <c r="L32" s="49"/>
      <c r="M32" s="64"/>
      <c r="N32" s="63"/>
      <c r="O32" s="49"/>
      <c r="P32" s="49"/>
      <c r="Q32" s="49"/>
      <c r="R32" s="64"/>
      <c r="S32" s="63"/>
      <c r="T32" s="49"/>
      <c r="U32" s="49"/>
      <c r="V32" s="49"/>
      <c r="W32" s="64"/>
      <c r="X32" s="63"/>
      <c r="Y32" s="49"/>
      <c r="Z32" s="49"/>
      <c r="AA32" s="49"/>
      <c r="AB32" s="64"/>
      <c r="AC32" s="63"/>
      <c r="AD32" s="49"/>
      <c r="AE32" s="49"/>
      <c r="AF32" s="49"/>
      <c r="AG32" s="64"/>
      <c r="AH32" s="63"/>
      <c r="AI32" s="49"/>
      <c r="AJ32" s="49"/>
      <c r="AK32" s="49"/>
      <c r="AL32" s="64"/>
      <c r="AM32" s="63"/>
      <c r="AN32" s="49"/>
      <c r="AO32" s="49"/>
      <c r="AP32" s="49"/>
      <c r="AQ32" s="64"/>
      <c r="AR32" s="63"/>
      <c r="AS32" s="49"/>
      <c r="AT32" s="49"/>
      <c r="AU32" s="49"/>
      <c r="AV32" s="64"/>
      <c r="AW32" s="63"/>
      <c r="AX32" s="49"/>
      <c r="AY32" s="49"/>
      <c r="AZ32" s="49"/>
      <c r="BA32" s="64"/>
      <c r="BB32" s="63"/>
      <c r="BC32" s="49"/>
      <c r="BD32" s="49"/>
      <c r="BE32" s="49"/>
      <c r="BF32" s="64"/>
      <c r="BG32" s="63"/>
      <c r="BH32" s="49"/>
      <c r="BI32" s="49"/>
      <c r="BJ32" s="49"/>
      <c r="BK32" s="64"/>
      <c r="BL32" s="63"/>
      <c r="BM32" s="49"/>
      <c r="BN32" s="49"/>
      <c r="BO32" s="49"/>
      <c r="BP32" s="64"/>
      <c r="BT32" s="50"/>
      <c r="BU32" s="51"/>
      <c r="BV32" s="51"/>
      <c r="BW32" s="51"/>
      <c r="BX32" s="51"/>
      <c r="BY32" s="51"/>
      <c r="BZ32" s="51"/>
      <c r="CA32" s="51"/>
      <c r="CB32" s="51"/>
      <c r="CC32" s="51"/>
      <c r="CD32" s="51"/>
      <c r="CE32" s="51"/>
      <c r="CF32" s="51"/>
      <c r="CG32" s="51"/>
      <c r="CH32" s="52"/>
    </row>
    <row r="33" spans="1:86" x14ac:dyDescent="0.25">
      <c r="E33" s="6"/>
      <c r="F33" s="5"/>
      <c r="H33" s="59"/>
      <c r="I33" s="65">
        <v>28</v>
      </c>
      <c r="J33" s="66"/>
      <c r="K33" s="66"/>
      <c r="L33" s="66"/>
      <c r="M33" s="67"/>
      <c r="N33" s="65">
        <v>27</v>
      </c>
      <c r="O33" s="66"/>
      <c r="P33" s="66"/>
      <c r="Q33" s="66"/>
      <c r="R33" s="67"/>
      <c r="S33" s="65">
        <v>26</v>
      </c>
      <c r="T33" s="66"/>
      <c r="U33" s="66"/>
      <c r="V33" s="66"/>
      <c r="W33" s="67"/>
      <c r="X33" s="65">
        <v>25</v>
      </c>
      <c r="Y33" s="66"/>
      <c r="Z33" s="66"/>
      <c r="AA33" s="66"/>
      <c r="AB33" s="67"/>
      <c r="AC33" s="65">
        <v>24</v>
      </c>
      <c r="AD33" s="66"/>
      <c r="AE33" s="66"/>
      <c r="AF33" s="66"/>
      <c r="AG33" s="67"/>
      <c r="AH33" s="65">
        <v>23</v>
      </c>
      <c r="AI33" s="66"/>
      <c r="AJ33" s="66"/>
      <c r="AK33" s="66"/>
      <c r="AL33" s="67"/>
      <c r="AM33" s="65">
        <v>22</v>
      </c>
      <c r="AN33" s="66"/>
      <c r="AO33" s="66"/>
      <c r="AP33" s="66"/>
      <c r="AQ33" s="67"/>
      <c r="AR33" s="65">
        <v>21</v>
      </c>
      <c r="AS33" s="66"/>
      <c r="AT33" s="66"/>
      <c r="AU33" s="66"/>
      <c r="AV33" s="67"/>
      <c r="AW33" s="65">
        <v>20</v>
      </c>
      <c r="AX33" s="66"/>
      <c r="AY33" s="66"/>
      <c r="AZ33" s="66"/>
      <c r="BA33" s="67"/>
      <c r="BB33" s="65">
        <v>19</v>
      </c>
      <c r="BC33" s="66"/>
      <c r="BD33" s="66"/>
      <c r="BE33" s="66"/>
      <c r="BF33" s="67"/>
      <c r="BG33" s="65">
        <v>18</v>
      </c>
      <c r="BH33" s="66"/>
      <c r="BI33" s="66"/>
      <c r="BJ33" s="66"/>
      <c r="BK33" s="67"/>
      <c r="BL33" s="65">
        <v>17</v>
      </c>
      <c r="BM33" s="66"/>
      <c r="BN33" s="66"/>
      <c r="BO33" s="66"/>
      <c r="BP33" s="67"/>
      <c r="BT33" s="53"/>
      <c r="BU33" s="54"/>
      <c r="BV33" s="54"/>
      <c r="BW33" s="54"/>
      <c r="BX33" s="54"/>
      <c r="BY33" s="54"/>
      <c r="BZ33" s="54"/>
      <c r="CA33" s="54"/>
      <c r="CB33" s="54"/>
      <c r="CC33" s="54"/>
      <c r="CD33" s="54"/>
      <c r="CE33" s="54"/>
      <c r="CF33" s="54"/>
      <c r="CG33" s="54"/>
      <c r="CH33" s="55"/>
    </row>
    <row r="34" spans="1:86" x14ac:dyDescent="0.25">
      <c r="E34" s="9"/>
      <c r="F34" s="7"/>
      <c r="H34" s="59"/>
      <c r="I34" s="68"/>
      <c r="J34" s="69"/>
      <c r="K34" s="69"/>
      <c r="L34" s="69"/>
      <c r="M34" s="70"/>
      <c r="N34" s="68"/>
      <c r="O34" s="69"/>
      <c r="P34" s="69"/>
      <c r="Q34" s="69"/>
      <c r="R34" s="70"/>
      <c r="S34" s="68"/>
      <c r="T34" s="69"/>
      <c r="U34" s="69"/>
      <c r="V34" s="69"/>
      <c r="W34" s="70"/>
      <c r="X34" s="68"/>
      <c r="Y34" s="69"/>
      <c r="Z34" s="69"/>
      <c r="AA34" s="69"/>
      <c r="AB34" s="70"/>
      <c r="AC34" s="68"/>
      <c r="AD34" s="69"/>
      <c r="AE34" s="69"/>
      <c r="AF34" s="69"/>
      <c r="AG34" s="70"/>
      <c r="AH34" s="68"/>
      <c r="AI34" s="69"/>
      <c r="AJ34" s="69"/>
      <c r="AK34" s="69"/>
      <c r="AL34" s="70"/>
      <c r="AM34" s="68"/>
      <c r="AN34" s="69"/>
      <c r="AO34" s="69"/>
      <c r="AP34" s="69"/>
      <c r="AQ34" s="70"/>
      <c r="AR34" s="68"/>
      <c r="AS34" s="69"/>
      <c r="AT34" s="69"/>
      <c r="AU34" s="69"/>
      <c r="AV34" s="70"/>
      <c r="AW34" s="68"/>
      <c r="AX34" s="69"/>
      <c r="AY34" s="69"/>
      <c r="AZ34" s="69"/>
      <c r="BA34" s="70"/>
      <c r="BB34" s="68"/>
      <c r="BC34" s="69"/>
      <c r="BD34" s="69"/>
      <c r="BE34" s="69"/>
      <c r="BF34" s="70"/>
      <c r="BG34" s="68"/>
      <c r="BH34" s="69"/>
      <c r="BI34" s="69"/>
      <c r="BJ34" s="69"/>
      <c r="BK34" s="70"/>
      <c r="BL34" s="68"/>
      <c r="BM34" s="69"/>
      <c r="BN34" s="69"/>
      <c r="BO34" s="69"/>
      <c r="BP34" s="70"/>
    </row>
    <row r="38" spans="1:86" x14ac:dyDescent="0.25">
      <c r="I38" s="7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49">
        <f>AM1</f>
        <v>120</v>
      </c>
      <c r="AN38" s="66"/>
      <c r="AO38" s="66"/>
      <c r="AP38" s="66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9"/>
    </row>
    <row r="39" spans="1:86" x14ac:dyDescent="0.25">
      <c r="C39" s="109"/>
      <c r="D39" s="109"/>
      <c r="E39" s="111"/>
      <c r="F39" s="111"/>
      <c r="G39" s="107"/>
      <c r="H39" s="107"/>
      <c r="I39" s="2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66"/>
      <c r="AN39" s="66"/>
      <c r="AO39" s="66"/>
      <c r="AP39" s="66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4"/>
      <c r="BQ39" s="109"/>
      <c r="BR39" s="109"/>
      <c r="BS39" s="111"/>
      <c r="BT39" s="111"/>
      <c r="BU39" s="107"/>
      <c r="BV39" s="107"/>
    </row>
    <row r="40" spans="1:86" x14ac:dyDescent="0.25">
      <c r="A40" s="17"/>
      <c r="B40" s="17"/>
      <c r="C40" s="110"/>
      <c r="D40" s="110"/>
      <c r="E40" s="112"/>
      <c r="F40" s="112"/>
      <c r="G40" s="108"/>
      <c r="H40" s="108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10"/>
      <c r="BR40" s="110"/>
      <c r="BS40" s="66"/>
      <c r="BT40" s="66"/>
      <c r="BU40" s="108"/>
      <c r="BV40" s="108"/>
      <c r="BW40" s="17"/>
      <c r="BX40" s="17"/>
      <c r="BY40" s="112" t="s">
        <v>9</v>
      </c>
      <c r="BZ40" s="112"/>
      <c r="CA40" s="112"/>
      <c r="CB40" s="112"/>
      <c r="CC40" s="112"/>
      <c r="CD40" s="112"/>
      <c r="CE40" s="17"/>
      <c r="CF40" s="17"/>
      <c r="CG40" s="17"/>
      <c r="CH40" s="17"/>
    </row>
    <row r="41" spans="1:86" x14ac:dyDescent="0.25">
      <c r="F41" s="12"/>
      <c r="G41" s="12"/>
      <c r="H41" s="12"/>
      <c r="I41" s="11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BP41" s="6"/>
      <c r="BQ41" s="5"/>
      <c r="BS41" s="4"/>
      <c r="BT41" s="2"/>
      <c r="BY41" s="113" t="s">
        <v>10</v>
      </c>
      <c r="BZ41" s="113"/>
      <c r="CA41" s="113"/>
      <c r="CB41" s="113"/>
      <c r="CC41" s="113"/>
      <c r="CD41" s="113"/>
    </row>
    <row r="42" spans="1:86" x14ac:dyDescent="0.25">
      <c r="F42" s="12"/>
      <c r="G42" s="12"/>
      <c r="H42" s="12"/>
      <c r="I42" s="11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BP42" s="6"/>
      <c r="BQ42" s="5"/>
      <c r="BS42" s="6"/>
      <c r="BT42" s="5"/>
      <c r="BY42" s="66"/>
      <c r="BZ42" s="66"/>
      <c r="CA42" s="66"/>
      <c r="CB42" s="66"/>
      <c r="CC42" s="66"/>
      <c r="CD42" s="66"/>
    </row>
    <row r="43" spans="1:86" x14ac:dyDescent="0.25">
      <c r="F43" s="12"/>
      <c r="G43" s="12"/>
      <c r="H43" s="12"/>
      <c r="I43" s="14"/>
      <c r="J43" s="15"/>
      <c r="K43" s="15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BN43" s="8"/>
      <c r="BO43" s="8"/>
      <c r="BP43" s="9"/>
      <c r="BQ43" s="20"/>
      <c r="BR43" s="21"/>
      <c r="BS43" s="22"/>
      <c r="BT43" s="20"/>
      <c r="BU43" s="21"/>
      <c r="BV43" s="21"/>
      <c r="BW43" s="21"/>
      <c r="BX43" s="21"/>
      <c r="BY43" s="114"/>
      <c r="BZ43" s="114"/>
      <c r="CA43" s="114"/>
      <c r="CB43" s="114"/>
      <c r="CC43" s="114"/>
      <c r="CD43" s="114"/>
    </row>
    <row r="44" spans="1:86" x14ac:dyDescent="0.25">
      <c r="F44" s="12"/>
      <c r="G44" s="12"/>
      <c r="H44" s="12"/>
      <c r="I44" s="12"/>
      <c r="J44" s="12"/>
      <c r="K44" s="12"/>
      <c r="L44" s="11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BM44" s="6"/>
      <c r="BN44" s="5"/>
      <c r="BS44" s="64">
        <v>2.6</v>
      </c>
      <c r="BT44" s="49"/>
      <c r="BY44" s="66" t="s">
        <v>11</v>
      </c>
      <c r="BZ44" s="66"/>
      <c r="CA44" s="66"/>
      <c r="CB44" s="66"/>
      <c r="CC44" s="66"/>
      <c r="CD44" s="66"/>
    </row>
    <row r="45" spans="1:86" x14ac:dyDescent="0.25">
      <c r="F45" s="12"/>
      <c r="G45" s="12"/>
      <c r="H45" s="12"/>
      <c r="I45" s="12"/>
      <c r="J45" s="12"/>
      <c r="K45" s="12"/>
      <c r="L45" s="11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BM45" s="6"/>
      <c r="BN45" s="5"/>
      <c r="BS45" s="64"/>
      <c r="BT45" s="49"/>
      <c r="BY45" s="66"/>
      <c r="BZ45" s="66"/>
      <c r="CA45" s="66"/>
      <c r="CB45" s="66"/>
      <c r="CC45" s="66"/>
      <c r="CD45" s="66"/>
    </row>
    <row r="46" spans="1:86" x14ac:dyDescent="0.25">
      <c r="F46" s="12"/>
      <c r="G46" s="12"/>
      <c r="H46" s="12"/>
      <c r="I46" s="12"/>
      <c r="J46" s="12"/>
      <c r="K46" s="12"/>
      <c r="L46" s="14"/>
      <c r="M46" s="15"/>
      <c r="N46" s="15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BK46" s="8"/>
      <c r="BL46" s="8"/>
      <c r="BM46" s="9"/>
      <c r="BN46" s="20"/>
      <c r="BO46" s="21"/>
      <c r="BP46" s="21"/>
      <c r="BQ46" s="21"/>
      <c r="BR46" s="21"/>
      <c r="BS46" s="22"/>
      <c r="BT46" s="20"/>
      <c r="BU46" s="21"/>
      <c r="BV46" s="21"/>
      <c r="BW46" s="21"/>
      <c r="BX46" s="21"/>
      <c r="BY46" s="114"/>
      <c r="BZ46" s="114"/>
      <c r="CA46" s="114"/>
      <c r="CB46" s="114"/>
      <c r="CC46" s="114"/>
      <c r="CD46" s="114"/>
    </row>
    <row r="47" spans="1:86" x14ac:dyDescent="0.25">
      <c r="F47" s="12"/>
      <c r="G47" s="12"/>
      <c r="H47" s="12"/>
      <c r="I47" s="12"/>
      <c r="J47" s="12"/>
      <c r="K47" s="12"/>
      <c r="L47" s="12"/>
      <c r="M47" s="12"/>
      <c r="N47" s="12"/>
      <c r="O47" s="11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BJ47" s="6"/>
      <c r="BK47" s="5"/>
      <c r="BS47" s="6"/>
      <c r="BT47" s="5"/>
      <c r="BY47" s="66" t="s">
        <v>12</v>
      </c>
      <c r="BZ47" s="66"/>
      <c r="CA47" s="66"/>
      <c r="CB47" s="66"/>
      <c r="CC47" s="66"/>
      <c r="CD47" s="66"/>
    </row>
    <row r="48" spans="1:86" x14ac:dyDescent="0.25">
      <c r="F48" s="12"/>
      <c r="G48" s="12"/>
      <c r="H48" s="12"/>
      <c r="I48" s="12"/>
      <c r="J48" s="12"/>
      <c r="K48" s="12"/>
      <c r="L48" s="12"/>
      <c r="M48" s="12"/>
      <c r="N48" s="12"/>
      <c r="O48" s="14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9"/>
      <c r="BK48" s="20"/>
      <c r="BL48" s="21"/>
      <c r="BM48" s="21"/>
      <c r="BN48" s="21"/>
      <c r="BO48" s="21"/>
      <c r="BP48" s="21"/>
      <c r="BQ48" s="21"/>
      <c r="BR48" s="21"/>
      <c r="BS48" s="9"/>
      <c r="BT48" s="7"/>
      <c r="BU48" s="21"/>
      <c r="BV48" s="21"/>
      <c r="BW48" s="21"/>
      <c r="BX48" s="21"/>
      <c r="BY48" s="114"/>
      <c r="BZ48" s="114"/>
      <c r="CA48" s="114"/>
      <c r="CB48" s="114"/>
      <c r="CC48" s="114"/>
      <c r="CD48" s="114"/>
    </row>
    <row r="49" spans="1:86" x14ac:dyDescent="0.25"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</row>
    <row r="50" spans="1:86" x14ac:dyDescent="0.25">
      <c r="F50" s="12"/>
      <c r="G50" s="12"/>
      <c r="H50" s="12"/>
      <c r="I50" s="12"/>
      <c r="J50" s="12"/>
      <c r="K50" s="12"/>
      <c r="L50" s="12"/>
      <c r="M50" s="12"/>
      <c r="N50" s="12"/>
      <c r="O50" s="14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8"/>
      <c r="AE50" s="8"/>
      <c r="AF50" s="8"/>
      <c r="AG50" s="8"/>
      <c r="AH50" s="8"/>
      <c r="AI50" s="8"/>
      <c r="AJ50" s="8"/>
      <c r="AK50" s="8"/>
      <c r="AL50" s="8"/>
      <c r="AM50" s="49">
        <f>AM38-4</f>
        <v>116</v>
      </c>
      <c r="AN50" s="66"/>
      <c r="AO50" s="66"/>
      <c r="AP50" s="66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9"/>
    </row>
    <row r="51" spans="1:86" x14ac:dyDescent="0.25">
      <c r="F51" s="12"/>
      <c r="G51" s="12"/>
      <c r="H51" s="12"/>
      <c r="I51" s="12"/>
      <c r="J51" s="12"/>
      <c r="K51" s="12"/>
      <c r="L51" s="12"/>
      <c r="M51" s="12"/>
      <c r="N51" s="12"/>
      <c r="O51" s="18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3"/>
      <c r="AE51" s="3"/>
      <c r="AF51" s="3"/>
      <c r="AG51" s="3"/>
      <c r="AH51" s="3"/>
      <c r="AI51" s="3"/>
      <c r="AJ51" s="3"/>
      <c r="AK51" s="3"/>
      <c r="AL51" s="3"/>
      <c r="AM51" s="66"/>
      <c r="AN51" s="66"/>
      <c r="AO51" s="66"/>
      <c r="AP51" s="66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4"/>
    </row>
    <row r="52" spans="1:86" x14ac:dyDescent="0.25"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</row>
    <row r="53" spans="1:86" x14ac:dyDescent="0.25"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</row>
    <row r="54" spans="1:86" x14ac:dyDescent="0.25">
      <c r="A54" s="48" t="s">
        <v>13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  <c r="BW54" s="48"/>
      <c r="BX54" s="48"/>
      <c r="BY54" s="48"/>
      <c r="BZ54" s="48"/>
      <c r="CA54" s="48"/>
      <c r="CB54" s="48"/>
      <c r="CC54" s="48"/>
      <c r="CD54" s="48"/>
      <c r="CE54" s="48"/>
      <c r="CF54" s="48"/>
      <c r="CG54" s="48"/>
      <c r="CH54" s="48"/>
    </row>
    <row r="55" spans="1:86" x14ac:dyDescent="0.25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  <c r="BW55" s="48"/>
      <c r="BX55" s="48"/>
      <c r="BY55" s="48"/>
      <c r="BZ55" s="48"/>
      <c r="CA55" s="48"/>
      <c r="CB55" s="48"/>
      <c r="CC55" s="48"/>
      <c r="CD55" s="48"/>
      <c r="CE55" s="48"/>
      <c r="CF55" s="48"/>
      <c r="CG55" s="48"/>
      <c r="CH55" s="48"/>
    </row>
    <row r="56" spans="1:86" x14ac:dyDescent="0.25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  <c r="BW56" s="48"/>
      <c r="BX56" s="48"/>
      <c r="BY56" s="48"/>
      <c r="BZ56" s="48"/>
      <c r="CA56" s="48"/>
      <c r="CB56" s="48"/>
      <c r="CC56" s="48"/>
      <c r="CD56" s="48"/>
      <c r="CE56" s="48"/>
      <c r="CF56" s="48"/>
      <c r="CG56" s="48"/>
      <c r="CH56" s="48"/>
    </row>
    <row r="57" spans="1:86" x14ac:dyDescent="0.25"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</row>
    <row r="58" spans="1:86" x14ac:dyDescent="0.25"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</row>
  </sheetData>
  <mergeCells count="194">
    <mergeCell ref="BY40:CD40"/>
    <mergeCell ref="BY41:CD43"/>
    <mergeCell ref="BY44:CD46"/>
    <mergeCell ref="BY47:CD48"/>
    <mergeCell ref="A54:CH56"/>
    <mergeCell ref="BQ39:BR40"/>
    <mergeCell ref="BS39:BT40"/>
    <mergeCell ref="BU39:BV40"/>
    <mergeCell ref="BS44:BT45"/>
    <mergeCell ref="AM38:AP39"/>
    <mergeCell ref="AW8:BA9"/>
    <mergeCell ref="BB8:BF9"/>
    <mergeCell ref="BG8:BK9"/>
    <mergeCell ref="AM1:AP2"/>
    <mergeCell ref="D19:G20"/>
    <mergeCell ref="AM50:AP51"/>
    <mergeCell ref="G39:H40"/>
    <mergeCell ref="E39:F40"/>
    <mergeCell ref="C39:D40"/>
    <mergeCell ref="I4:M4"/>
    <mergeCell ref="N4:R4"/>
    <mergeCell ref="S4:W4"/>
    <mergeCell ref="X4:AB4"/>
    <mergeCell ref="X13:AB14"/>
    <mergeCell ref="AC13:AG14"/>
    <mergeCell ref="AH13:AL14"/>
    <mergeCell ref="AM13:AQ14"/>
    <mergeCell ref="I25:M27"/>
    <mergeCell ref="N25:R27"/>
    <mergeCell ref="S25:W27"/>
    <mergeCell ref="X25:AB27"/>
    <mergeCell ref="AC25:AG27"/>
    <mergeCell ref="AM23:AQ24"/>
    <mergeCell ref="BG4:BK4"/>
    <mergeCell ref="BL4:BP4"/>
    <mergeCell ref="N5:R7"/>
    <mergeCell ref="S5:W7"/>
    <mergeCell ref="X5:AB7"/>
    <mergeCell ref="AC5:AG7"/>
    <mergeCell ref="AH5:AL7"/>
    <mergeCell ref="AM5:AQ7"/>
    <mergeCell ref="AR5:AV7"/>
    <mergeCell ref="AW5:BA7"/>
    <mergeCell ref="AC4:AG4"/>
    <mergeCell ref="AH4:AL4"/>
    <mergeCell ref="AM4:AQ4"/>
    <mergeCell ref="AR4:AV4"/>
    <mergeCell ref="AW4:BA4"/>
    <mergeCell ref="BB4:BF4"/>
    <mergeCell ref="BL8:BP9"/>
    <mergeCell ref="H5:H9"/>
    <mergeCell ref="H10:H14"/>
    <mergeCell ref="I10:M12"/>
    <mergeCell ref="N10:R12"/>
    <mergeCell ref="S10:W12"/>
    <mergeCell ref="X10:AB12"/>
    <mergeCell ref="BB5:BF7"/>
    <mergeCell ref="BG5:BK7"/>
    <mergeCell ref="BL5:BP7"/>
    <mergeCell ref="N8:R9"/>
    <mergeCell ref="S8:W9"/>
    <mergeCell ref="X8:AB9"/>
    <mergeCell ref="AC8:AG9"/>
    <mergeCell ref="AH8:AL9"/>
    <mergeCell ref="AM8:AQ9"/>
    <mergeCell ref="AR8:AV9"/>
    <mergeCell ref="I5:M7"/>
    <mergeCell ref="I8:M9"/>
    <mergeCell ref="BG10:BK12"/>
    <mergeCell ref="BL10:BP12"/>
    <mergeCell ref="I13:M14"/>
    <mergeCell ref="N13:R14"/>
    <mergeCell ref="S13:W14"/>
    <mergeCell ref="AR13:AV14"/>
    <mergeCell ref="AC10:AG12"/>
    <mergeCell ref="AH10:AL12"/>
    <mergeCell ref="AM10:AQ12"/>
    <mergeCell ref="AR10:AV12"/>
    <mergeCell ref="AW10:BA12"/>
    <mergeCell ref="BB10:BF12"/>
    <mergeCell ref="AW13:BA14"/>
    <mergeCell ref="BB13:BF14"/>
    <mergeCell ref="BG13:BK14"/>
    <mergeCell ref="BL13:BP14"/>
    <mergeCell ref="H15:H19"/>
    <mergeCell ref="I15:M17"/>
    <mergeCell ref="N15:R17"/>
    <mergeCell ref="S15:W17"/>
    <mergeCell ref="X15:AB17"/>
    <mergeCell ref="AC15:AG17"/>
    <mergeCell ref="BL15:BP17"/>
    <mergeCell ref="I18:M19"/>
    <mergeCell ref="N18:R19"/>
    <mergeCell ref="S18:W19"/>
    <mergeCell ref="X18:AB19"/>
    <mergeCell ref="AC18:AG19"/>
    <mergeCell ref="AH18:AL19"/>
    <mergeCell ref="AM18:AQ19"/>
    <mergeCell ref="AR18:AV19"/>
    <mergeCell ref="AW18:BA19"/>
    <mergeCell ref="AH15:AL17"/>
    <mergeCell ref="AM15:AQ17"/>
    <mergeCell ref="AR15:AV17"/>
    <mergeCell ref="AW15:BA17"/>
    <mergeCell ref="BB15:BF17"/>
    <mergeCell ref="BG15:BK17"/>
    <mergeCell ref="BB18:BF19"/>
    <mergeCell ref="BG18:BK19"/>
    <mergeCell ref="BL18:BP19"/>
    <mergeCell ref="H20:H24"/>
    <mergeCell ref="I20:M22"/>
    <mergeCell ref="N20:R22"/>
    <mergeCell ref="S20:W22"/>
    <mergeCell ref="X20:AB22"/>
    <mergeCell ref="AC20:AG22"/>
    <mergeCell ref="AH20:AL22"/>
    <mergeCell ref="BG23:BK24"/>
    <mergeCell ref="BL23:BP24"/>
    <mergeCell ref="I23:M24"/>
    <mergeCell ref="N23:R24"/>
    <mergeCell ref="S23:W24"/>
    <mergeCell ref="X23:AB24"/>
    <mergeCell ref="AC23:AG24"/>
    <mergeCell ref="AH23:AL24"/>
    <mergeCell ref="AM20:AQ22"/>
    <mergeCell ref="AR20:AV22"/>
    <mergeCell ref="AW20:BA22"/>
    <mergeCell ref="BB20:BF22"/>
    <mergeCell ref="BG20:BK22"/>
    <mergeCell ref="BL20:BP22"/>
    <mergeCell ref="AR23:AV24"/>
    <mergeCell ref="AW23:BA24"/>
    <mergeCell ref="BB23:BF24"/>
    <mergeCell ref="H30:H34"/>
    <mergeCell ref="I30:M32"/>
    <mergeCell ref="N30:R32"/>
    <mergeCell ref="S30:W32"/>
    <mergeCell ref="X30:AB32"/>
    <mergeCell ref="AC30:AG32"/>
    <mergeCell ref="AH30:AL32"/>
    <mergeCell ref="H25:H29"/>
    <mergeCell ref="AM30:AQ32"/>
    <mergeCell ref="AR30:AV32"/>
    <mergeCell ref="AW30:BA32"/>
    <mergeCell ref="BB30:BF32"/>
    <mergeCell ref="I33:M34"/>
    <mergeCell ref="N33:R34"/>
    <mergeCell ref="S33:W34"/>
    <mergeCell ref="X33:AB34"/>
    <mergeCell ref="AC33:AG34"/>
    <mergeCell ref="AH33:AL34"/>
    <mergeCell ref="BL25:BP27"/>
    <mergeCell ref="I28:M29"/>
    <mergeCell ref="N28:R29"/>
    <mergeCell ref="S28:W29"/>
    <mergeCell ref="X28:AB29"/>
    <mergeCell ref="AC28:AG29"/>
    <mergeCell ref="AH28:AL29"/>
    <mergeCell ref="AM28:AQ29"/>
    <mergeCell ref="AR28:AV29"/>
    <mergeCell ref="AW28:BA29"/>
    <mergeCell ref="AH25:AL27"/>
    <mergeCell ref="AM25:AQ27"/>
    <mergeCell ref="AR25:AV27"/>
    <mergeCell ref="AW25:BA27"/>
    <mergeCell ref="BB25:BF27"/>
    <mergeCell ref="BG25:BK27"/>
    <mergeCell ref="BG30:BK32"/>
    <mergeCell ref="BL30:BP32"/>
    <mergeCell ref="BB28:BF29"/>
    <mergeCell ref="BG28:BK29"/>
    <mergeCell ref="BL28:BP29"/>
    <mergeCell ref="AM33:AQ34"/>
    <mergeCell ref="AR33:AV34"/>
    <mergeCell ref="AW33:BA34"/>
    <mergeCell ref="BB33:BF34"/>
    <mergeCell ref="BG33:BK34"/>
    <mergeCell ref="BL33:BP34"/>
    <mergeCell ref="BT30:CH31"/>
    <mergeCell ref="BT32:CH33"/>
    <mergeCell ref="BT8:BX9"/>
    <mergeCell ref="BY8:CC9"/>
    <mergeCell ref="CD8:CH9"/>
    <mergeCell ref="BT4:BX5"/>
    <mergeCell ref="BY4:CC5"/>
    <mergeCell ref="CD4:CH5"/>
    <mergeCell ref="BT6:BX7"/>
    <mergeCell ref="BY6:CC7"/>
    <mergeCell ref="CD6:CH7"/>
    <mergeCell ref="BT10:CH19"/>
    <mergeCell ref="BT20:CH23"/>
    <mergeCell ref="BT24:CH25"/>
    <mergeCell ref="BT26:CH27"/>
    <mergeCell ref="BT28:CH29"/>
  </mergeCells>
  <phoneticPr fontId="1" type="noConversion"/>
  <pageMargins left="0.25" right="0.25" top="0.75" bottom="0.75" header="0.3" footer="0.3"/>
  <pageSetup paperSize="9" scale="5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7</vt:i4>
      </vt:variant>
    </vt:vector>
  </HeadingPairs>
  <TitlesOfParts>
    <vt:vector size="23" baseType="lpstr">
      <vt:lpstr>Sheet1 (16)</vt:lpstr>
      <vt:lpstr>Sheet1 (15)</vt:lpstr>
      <vt:lpstr>Sheet1 (14)</vt:lpstr>
      <vt:lpstr>Sheet1 (13)</vt:lpstr>
      <vt:lpstr>Sheet1 (12)</vt:lpstr>
      <vt:lpstr>Sheet1 (11)</vt:lpstr>
      <vt:lpstr>Sheet1 (10)</vt:lpstr>
      <vt:lpstr>Sheet1 (9)</vt:lpstr>
      <vt:lpstr>Sheet1 (8)</vt:lpstr>
      <vt:lpstr>Sheet1 (7)</vt:lpstr>
      <vt:lpstr>Sheet1 (6)</vt:lpstr>
      <vt:lpstr>Sheet1 (5)</vt:lpstr>
      <vt:lpstr>Sheet1 (4)</vt:lpstr>
      <vt:lpstr>Sheet1 (3)</vt:lpstr>
      <vt:lpstr>Sheet1 (2)</vt:lpstr>
      <vt:lpstr>Sheet1</vt:lpstr>
      <vt:lpstr>'Sheet1 (10)'!Print_Area</vt:lpstr>
      <vt:lpstr>'Sheet1 (12)'!Print_Area</vt:lpstr>
      <vt:lpstr>'Sheet1 (13)'!Print_Area</vt:lpstr>
      <vt:lpstr>'Sheet1 (15)'!Print_Area</vt:lpstr>
      <vt:lpstr>'Sheet1 (16)'!Print_Area</vt:lpstr>
      <vt:lpstr>'Sheet1 (7)'!Print_Area</vt:lpstr>
      <vt:lpstr>'Sheet1 (8)'!Print_Area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Jaiswar</dc:creator>
  <cp:lastModifiedBy>Prashant Jaiswar</cp:lastModifiedBy>
  <cp:lastPrinted>2026-06-28T09:19:36Z</cp:lastPrinted>
  <dcterms:created xsi:type="dcterms:W3CDTF">2026-04-22T23:31:17Z</dcterms:created>
  <dcterms:modified xsi:type="dcterms:W3CDTF">2026-06-28T09:45:22Z</dcterms:modified>
</cp:coreProperties>
</file>