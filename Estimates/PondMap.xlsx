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Estimates\"/>
    </mc:Choice>
  </mc:AlternateContent>
  <xr:revisionPtr revIDLastSave="0" documentId="13_ncr:1_{8C6BED09-F98A-40CF-9A6C-FD783F17D029}" xr6:coauthVersionLast="47" xr6:coauthVersionMax="47" xr10:uidLastSave="{00000000-0000-0000-0000-000000000000}"/>
  <bookViews>
    <workbookView xWindow="-120" yWindow="-120" windowWidth="29040" windowHeight="15720" xr2:uid="{5892F300-12B6-42D5-AAF3-450D427F2998}"/>
  </bookViews>
  <sheets>
    <sheet name="Sheet1 (5)" sheetId="6" r:id="rId1"/>
    <sheet name="Sheet1 (4)" sheetId="5" r:id="rId2"/>
    <sheet name="Sheet1 (3)" sheetId="4" r:id="rId3"/>
    <sheet name="Sheet1 (2)" sheetId="3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12" i="6" l="1"/>
  <c r="AS12" i="6" s="1"/>
  <c r="AN10" i="6"/>
  <c r="AN8" i="6"/>
  <c r="AS8" i="6"/>
  <c r="AS10" i="6"/>
  <c r="X35" i="6"/>
  <c r="S35" i="6"/>
  <c r="N35" i="6"/>
  <c r="I35" i="6"/>
  <c r="I30" i="6"/>
  <c r="I15" i="6"/>
  <c r="I10" i="6"/>
  <c r="AC35" i="6"/>
  <c r="AC30" i="6"/>
  <c r="X30" i="6" s="1"/>
  <c r="AC25" i="6"/>
  <c r="AC20" i="6"/>
  <c r="X20" i="6" s="1"/>
  <c r="S20" i="6" s="1"/>
  <c r="AC15" i="6"/>
  <c r="X15" i="6" s="1"/>
  <c r="S15" i="6" s="1"/>
  <c r="AC10" i="6"/>
  <c r="AC5" i="6"/>
  <c r="X5" i="6"/>
  <c r="S5" i="6"/>
  <c r="N5" i="6"/>
  <c r="I5" i="6"/>
  <c r="X25" i="6"/>
  <c r="S25" i="6" s="1"/>
  <c r="N25" i="6"/>
  <c r="N20" i="6"/>
  <c r="N15" i="6"/>
  <c r="X10" i="6"/>
  <c r="I25" i="6"/>
  <c r="I20" i="6"/>
  <c r="D22" i="6"/>
  <c r="T1" i="6"/>
  <c r="X42" i="6" s="1"/>
  <c r="X51" i="6" s="1"/>
  <c r="N30" i="6" l="1"/>
  <c r="S30" i="6"/>
  <c r="N10" i="6"/>
  <c r="S10" i="6" s="1"/>
  <c r="AN6" i="6"/>
  <c r="AS6" i="6" s="1"/>
  <c r="X11" i="5"/>
  <c r="N5" i="5"/>
  <c r="S5" i="5"/>
  <c r="X5" i="5"/>
  <c r="AC5" i="5"/>
  <c r="AC11" i="5"/>
  <c r="AC16" i="5"/>
  <c r="X16" i="5" s="1"/>
  <c r="AC21" i="5"/>
  <c r="X21" i="5" s="1"/>
  <c r="AC26" i="5"/>
  <c r="AC31" i="5"/>
  <c r="X31" i="5"/>
  <c r="X26" i="5" s="1"/>
  <c r="S31" i="5"/>
  <c r="N31" i="5"/>
  <c r="I31" i="5"/>
  <c r="I26" i="5"/>
  <c r="N26" i="5" s="1"/>
  <c r="S26" i="5" s="1"/>
  <c r="I21" i="5"/>
  <c r="N21" i="5" s="1"/>
  <c r="I16" i="5"/>
  <c r="N16" i="5" s="1"/>
  <c r="I11" i="5"/>
  <c r="N11" i="5" s="1"/>
  <c r="I5" i="5"/>
  <c r="AN6" i="5" s="1"/>
  <c r="AS6" i="5" s="1"/>
  <c r="T1" i="5"/>
  <c r="X38" i="5" s="1"/>
  <c r="X47" i="5" s="1"/>
  <c r="AN8" i="5"/>
  <c r="AS8" i="5" s="1"/>
  <c r="D18" i="5"/>
  <c r="BO5" i="4"/>
  <c r="BO3" i="4"/>
  <c r="BT5" i="4"/>
  <c r="BT3" i="4"/>
  <c r="X10" i="4"/>
  <c r="AR10" i="4"/>
  <c r="D12" i="4"/>
  <c r="BB15" i="4"/>
  <c r="AW15" i="4"/>
  <c r="AR15" i="4"/>
  <c r="AM15" i="4"/>
  <c r="AH15" i="4"/>
  <c r="AC15" i="4"/>
  <c r="X15" i="4"/>
  <c r="S15" i="4"/>
  <c r="N15" i="4"/>
  <c r="I15" i="4"/>
  <c r="BB10" i="4"/>
  <c r="I10" i="4"/>
  <c r="BB5" i="4"/>
  <c r="AW10" i="4" s="1"/>
  <c r="AW5" i="4"/>
  <c r="AR5" i="4"/>
  <c r="AM5" i="4"/>
  <c r="AM10" i="4" s="1"/>
  <c r="AH5" i="4"/>
  <c r="AH10" i="4" s="1"/>
  <c r="AC5" i="4"/>
  <c r="AC10" i="4" s="1"/>
  <c r="X5" i="4"/>
  <c r="S5" i="4"/>
  <c r="S10" i="4" s="1"/>
  <c r="N5" i="4"/>
  <c r="N10" i="4" s="1"/>
  <c r="I5" i="4"/>
  <c r="AF1" i="4"/>
  <c r="AH23" i="4" s="1"/>
  <c r="AH35" i="4" s="1"/>
  <c r="T42" i="3"/>
  <c r="T32" i="3"/>
  <c r="N15" i="3"/>
  <c r="N10" i="3"/>
  <c r="N20" i="3"/>
  <c r="S25" i="3"/>
  <c r="N25" i="3"/>
  <c r="I15" i="3"/>
  <c r="I10" i="3"/>
  <c r="I5" i="3"/>
  <c r="I20" i="3"/>
  <c r="I25" i="3"/>
  <c r="S20" i="3"/>
  <c r="S15" i="3"/>
  <c r="S10" i="3"/>
  <c r="S5" i="3"/>
  <c r="N5" i="3"/>
  <c r="O1" i="3"/>
  <c r="D17" i="3"/>
  <c r="AM50" i="1"/>
  <c r="AM38" i="1"/>
  <c r="D19" i="1"/>
  <c r="AM1" i="1"/>
  <c r="AH30" i="1"/>
  <c r="AH25" i="1" s="1"/>
  <c r="AH20" i="1" s="1"/>
  <c r="BL20" i="1"/>
  <c r="BG20" i="1" s="1"/>
  <c r="I10" i="1"/>
  <c r="AH5" i="1"/>
  <c r="AH10" i="1" s="1"/>
  <c r="AH15" i="1" s="1"/>
  <c r="I5" i="1"/>
  <c r="I15" i="1"/>
  <c r="N15" i="1" s="1"/>
  <c r="I20" i="1"/>
  <c r="N20" i="1" s="1"/>
  <c r="I25" i="1"/>
  <c r="I30" i="1"/>
  <c r="N30" i="1"/>
  <c r="S30" i="1"/>
  <c r="S25" i="1" s="1"/>
  <c r="X30" i="1"/>
  <c r="X25" i="1" s="1"/>
  <c r="X20" i="1" s="1"/>
  <c r="AC30" i="1"/>
  <c r="AC25" i="1" s="1"/>
  <c r="AC20" i="1" s="1"/>
  <c r="AM30" i="1"/>
  <c r="AM25" i="1" s="1"/>
  <c r="AM20" i="1" s="1"/>
  <c r="AR30" i="1"/>
  <c r="AR25" i="1" s="1"/>
  <c r="AR20" i="1" s="1"/>
  <c r="AW30" i="1"/>
  <c r="AW25" i="1" s="1"/>
  <c r="AW20" i="1" s="1"/>
  <c r="BB30" i="1"/>
  <c r="BB25" i="1" s="1"/>
  <c r="BG30" i="1"/>
  <c r="BL30" i="1"/>
  <c r="BL25" i="1"/>
  <c r="BL15" i="1"/>
  <c r="BG15" i="1" s="1"/>
  <c r="BL10" i="1"/>
  <c r="BL5" i="1"/>
  <c r="BG5" i="1"/>
  <c r="BB5" i="1"/>
  <c r="BB10" i="1" s="1"/>
  <c r="AW5" i="1"/>
  <c r="AW10" i="1" s="1"/>
  <c r="AW15" i="1" s="1"/>
  <c r="AR5" i="1"/>
  <c r="AR10" i="1" s="1"/>
  <c r="AR15" i="1" s="1"/>
  <c r="AM5" i="1"/>
  <c r="AM10" i="1" s="1"/>
  <c r="AM15" i="1" s="1"/>
  <c r="AC5" i="1"/>
  <c r="AC10" i="1" s="1"/>
  <c r="AC15" i="1" s="1"/>
  <c r="X5" i="1"/>
  <c r="X10" i="1" s="1"/>
  <c r="X15" i="1" s="1"/>
  <c r="S5" i="1"/>
  <c r="S10" i="1" s="1"/>
  <c r="N5" i="1"/>
  <c r="S11" i="5" l="1"/>
  <c r="S16" i="5" s="1"/>
  <c r="AN10" i="5"/>
  <c r="AS10" i="5" s="1"/>
  <c r="S21" i="5"/>
  <c r="AN12" i="5"/>
  <c r="AS12" i="5" s="1"/>
  <c r="AF6" i="3"/>
  <c r="AK6" i="3" s="1"/>
  <c r="N10" i="1"/>
  <c r="S15" i="1" s="1"/>
  <c r="BG10" i="1"/>
  <c r="BB15" i="1" s="1"/>
  <c r="BG25" i="1"/>
  <c r="BB20" i="1" s="1"/>
  <c r="N25" i="1"/>
  <c r="S20" i="1" s="1"/>
  <c r="BY6" i="1"/>
  <c r="CD6" i="1" s="1"/>
  <c r="AF8" i="3" l="1"/>
  <c r="AK8" i="3" s="1"/>
  <c r="BY8" i="1"/>
  <c r="CD8" i="1" s="1"/>
  <c r="AN14" i="5" l="1"/>
  <c r="AS14" i="5" s="1"/>
</calcChain>
</file>

<file path=xl/sharedStrings.xml><?xml version="1.0" encoding="utf-8"?>
<sst xmlns="http://schemas.openxmlformats.org/spreadsheetml/2006/main" count="76" uniqueCount="40">
  <si>
    <t>Chainage</t>
  </si>
  <si>
    <t>Existing RL</t>
  </si>
  <si>
    <t>Depth</t>
  </si>
  <si>
    <t>1- 32</t>
  </si>
  <si>
    <t>33- 72</t>
  </si>
  <si>
    <t>3156002023/WC/YD/958486255824253385 - GP FULPUR ME GATA NO 131 ME POKHARI KHUDAI KARY</t>
  </si>
  <si>
    <t>Ratio = 1.00:1.00</t>
  </si>
  <si>
    <t>RL = 1.00 m</t>
  </si>
  <si>
    <t>Measurement = 120.00X60.00X2.60</t>
  </si>
  <si>
    <t>RL 100.00</t>
  </si>
  <si>
    <t>RL 99.00</t>
  </si>
  <si>
    <t>RL 98.00</t>
  </si>
  <si>
    <t>RL 97.40</t>
  </si>
  <si>
    <t>Plan and cross-section of pond excavation</t>
  </si>
  <si>
    <t>RL 97.00</t>
  </si>
  <si>
    <t>1.00 - 12.00</t>
  </si>
  <si>
    <t>13.00 - 15.00</t>
  </si>
  <si>
    <t>3156002023/WC/YD/958486255824253267 - GP FULPUR ME GATA NO 104 ME POKHARI KHUDAI KARY</t>
  </si>
  <si>
    <t>Measurement = 50.00X30.00X3.00</t>
  </si>
  <si>
    <t>1- 22</t>
  </si>
  <si>
    <t>23- 30</t>
  </si>
  <si>
    <t>RL 97.50</t>
  </si>
  <si>
    <t>Measurement = 100.00X30.00X2.50</t>
  </si>
  <si>
    <t>3156002018/WC/YD/958486255824253758 - GP DHARMPUR BISHUNPUR ME GATA NO 260 ME POKHARI KHUDAI KARY</t>
  </si>
  <si>
    <t>1.00 - 4.00</t>
  </si>
  <si>
    <t>6.00 - 10.00</t>
  </si>
  <si>
    <t>5.00</t>
  </si>
  <si>
    <t>11.00 - 18.00</t>
  </si>
  <si>
    <t>19.00 - 30.00</t>
  </si>
  <si>
    <t>3156004044/WC/YD/958486255824253950 - PAKADI BUJURG ME GATA 1783 POKHARI KI KHUDAI</t>
  </si>
  <si>
    <t>Measurement = 62.00X45.00X2.50</t>
  </si>
  <si>
    <t>5 - 11</t>
  </si>
  <si>
    <t>1 - 4</t>
  </si>
  <si>
    <t>12 - 20</t>
  </si>
  <si>
    <t>21 - 35</t>
  </si>
  <si>
    <t>3156004044/WC/YD/958486255824253954 - PAKADI BUJURG ME GATA 2065 POKHARI KI KHUDAI</t>
  </si>
  <si>
    <r>
      <t>Measurement</t>
    </r>
    <r>
      <rPr>
        <sz val="11"/>
        <color theme="1"/>
        <rFont val="Aptos Narrow"/>
        <family val="2"/>
        <scheme val="minor"/>
      </rPr>
      <t xml:space="preserve"> =70.00X45.00X2.50</t>
    </r>
  </si>
  <si>
    <r>
      <t>Ratio =</t>
    </r>
    <r>
      <rPr>
        <sz val="11"/>
        <color theme="1"/>
        <rFont val="Aptos Narrow"/>
        <family val="2"/>
        <scheme val="minor"/>
      </rPr>
      <t xml:space="preserve"> 1.00:1.00</t>
    </r>
  </si>
  <si>
    <r>
      <t>RL =</t>
    </r>
    <r>
      <rPr>
        <sz val="11"/>
        <color theme="1"/>
        <rFont val="Aptos Narrow"/>
        <family val="2"/>
        <scheme val="minor"/>
      </rPr>
      <t xml:space="preserve"> 1.00 m</t>
    </r>
  </si>
  <si>
    <r>
      <t>Grid =</t>
    </r>
    <r>
      <rPr>
        <sz val="11"/>
        <color theme="1"/>
        <rFont val="Aptos Narrow"/>
        <family val="2"/>
        <scheme val="minor"/>
      </rPr>
      <t xml:space="preserve"> 10.00X10.00 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</si>
</sst>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>
      <left/>
      <right/>
      <top/>
      <bottom style="dashDotDot">
        <color auto="1"/>
      </bottom>
      <diagonal/>
    </border>
    <border diagonalUp="1">
      <left/>
      <right/>
      <top/>
      <bottom style="dashDotDot">
        <color auto="1"/>
      </bottom>
      <diagonal style="thin">
        <color auto="1"/>
      </diagonal>
    </border>
    <border diagonalDown="1">
      <left/>
      <right/>
      <top/>
      <bottom style="dashDotDot">
        <color auto="1"/>
      </bottom>
      <diagonal style="thin">
        <color auto="1"/>
      </diagonal>
    </border>
    <border>
      <left/>
      <right/>
      <top style="dashDotDot">
        <color auto="1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ashDotDot">
        <color auto="1"/>
      </bottom>
      <diagonal/>
    </border>
    <border>
      <left/>
      <right style="thin">
        <color indexed="64"/>
      </right>
      <top style="dashDotDot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5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0" fontId="0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44</xdr:row>
      <xdr:rowOff>379</xdr:rowOff>
    </xdr:from>
    <xdr:to>
      <xdr:col>41</xdr:col>
      <xdr:colOff>33190</xdr:colOff>
      <xdr:row>47</xdr:row>
      <xdr:rowOff>104775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E31A108C-836F-452E-95C1-AB13248BFE83}"/>
            </a:ext>
          </a:extLst>
        </xdr:cNvPr>
        <xdr:cNvSpPr/>
      </xdr:nvSpPr>
      <xdr:spPr>
        <a:xfrm>
          <a:off x="1095375" y="7620379"/>
          <a:ext cx="6357790" cy="67589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40</xdr:row>
      <xdr:rowOff>379</xdr:rowOff>
    </xdr:from>
    <xdr:to>
      <xdr:col>41</xdr:col>
      <xdr:colOff>33190</xdr:colOff>
      <xdr:row>43</xdr:row>
      <xdr:rowOff>104775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54EDD6A1-61C7-4F8E-B9DE-70BABC04D337}"/>
            </a:ext>
          </a:extLst>
        </xdr:cNvPr>
        <xdr:cNvSpPr/>
      </xdr:nvSpPr>
      <xdr:spPr>
        <a:xfrm>
          <a:off x="1095375" y="7620379"/>
          <a:ext cx="6357790" cy="67589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25</xdr:row>
      <xdr:rowOff>0</xdr:rowOff>
    </xdr:from>
    <xdr:to>
      <xdr:col>58</xdr:col>
      <xdr:colOff>28575</xdr:colOff>
      <xdr:row>29</xdr:row>
      <xdr:rowOff>28575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C3DA905A-86BB-4558-86D1-426A923146D9}"/>
            </a:ext>
          </a:extLst>
        </xdr:cNvPr>
        <xdr:cNvSpPr/>
      </xdr:nvSpPr>
      <xdr:spPr>
        <a:xfrm>
          <a:off x="1466850" y="7620000"/>
          <a:ext cx="10868025" cy="790575"/>
        </a:xfrm>
        <a:custGeom>
          <a:avLst/>
          <a:gdLst>
            <a:gd name="csX0" fmla="*/ 0 w 10868025"/>
            <a:gd name="csY0" fmla="*/ 9525 h 955626"/>
            <a:gd name="csX1" fmla="*/ 238125 w 10868025"/>
            <a:gd name="csY1" fmla="*/ 219075 h 955626"/>
            <a:gd name="csX2" fmla="*/ 476250 w 10868025"/>
            <a:gd name="csY2" fmla="*/ 304800 h 955626"/>
            <a:gd name="csX3" fmla="*/ 628650 w 10868025"/>
            <a:gd name="csY3" fmla="*/ 438150 h 955626"/>
            <a:gd name="csX4" fmla="*/ 952500 w 10868025"/>
            <a:gd name="csY4" fmla="*/ 485775 h 955626"/>
            <a:gd name="csX5" fmla="*/ 1371600 w 10868025"/>
            <a:gd name="csY5" fmla="*/ 552450 h 955626"/>
            <a:gd name="csX6" fmla="*/ 1600200 w 10868025"/>
            <a:gd name="csY6" fmla="*/ 742950 h 955626"/>
            <a:gd name="csX7" fmla="*/ 1971675 w 10868025"/>
            <a:gd name="csY7" fmla="*/ 838200 h 955626"/>
            <a:gd name="csX8" fmla="*/ 2600325 w 10868025"/>
            <a:gd name="csY8" fmla="*/ 923925 h 955626"/>
            <a:gd name="csX9" fmla="*/ 3686175 w 10868025"/>
            <a:gd name="csY9" fmla="*/ 952500 h 955626"/>
            <a:gd name="csX10" fmla="*/ 4648200 w 10868025"/>
            <a:gd name="csY10" fmla="*/ 857250 h 955626"/>
            <a:gd name="csX11" fmla="*/ 6562725 w 10868025"/>
            <a:gd name="csY11" fmla="*/ 942975 h 955626"/>
            <a:gd name="csX12" fmla="*/ 7934325 w 10868025"/>
            <a:gd name="csY12" fmla="*/ 876300 h 955626"/>
            <a:gd name="csX13" fmla="*/ 9420225 w 10868025"/>
            <a:gd name="csY13" fmla="*/ 838200 h 955626"/>
            <a:gd name="csX14" fmla="*/ 9820275 w 10868025"/>
            <a:gd name="csY14" fmla="*/ 581025 h 955626"/>
            <a:gd name="csX15" fmla="*/ 10153650 w 10868025"/>
            <a:gd name="csY15" fmla="*/ 409575 h 955626"/>
            <a:gd name="csX16" fmla="*/ 10487025 w 10868025"/>
            <a:gd name="csY16" fmla="*/ 200025 h 955626"/>
            <a:gd name="csX17" fmla="*/ 10868025 w 10868025"/>
            <a:gd name="csY17" fmla="*/ 0 h 955626"/>
            <a:gd name="csX18" fmla="*/ 10868025 w 10868025"/>
            <a:gd name="csY18" fmla="*/ 0 h 9556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10868025" h="955626">
              <a:moveTo>
                <a:pt x="0" y="9525"/>
              </a:moveTo>
              <a:cubicBezTo>
                <a:pt x="79375" y="89694"/>
                <a:pt x="158750" y="169863"/>
                <a:pt x="238125" y="219075"/>
              </a:cubicBezTo>
              <a:cubicBezTo>
                <a:pt x="317500" y="268287"/>
                <a:pt x="411162" y="268287"/>
                <a:pt x="476250" y="304800"/>
              </a:cubicBezTo>
              <a:cubicBezTo>
                <a:pt x="541338" y="341313"/>
                <a:pt x="549275" y="407988"/>
                <a:pt x="628650" y="438150"/>
              </a:cubicBezTo>
              <a:cubicBezTo>
                <a:pt x="708025" y="468313"/>
                <a:pt x="952500" y="485775"/>
                <a:pt x="952500" y="485775"/>
              </a:cubicBezTo>
              <a:cubicBezTo>
                <a:pt x="1076325" y="504825"/>
                <a:pt x="1263650" y="509588"/>
                <a:pt x="1371600" y="552450"/>
              </a:cubicBezTo>
              <a:cubicBezTo>
                <a:pt x="1479550" y="595313"/>
                <a:pt x="1500188" y="695325"/>
                <a:pt x="1600200" y="742950"/>
              </a:cubicBezTo>
              <a:cubicBezTo>
                <a:pt x="1700212" y="790575"/>
                <a:pt x="1804988" y="808038"/>
                <a:pt x="1971675" y="838200"/>
              </a:cubicBezTo>
              <a:cubicBezTo>
                <a:pt x="2138363" y="868363"/>
                <a:pt x="2314575" y="904875"/>
                <a:pt x="2600325" y="923925"/>
              </a:cubicBezTo>
              <a:cubicBezTo>
                <a:pt x="2886075" y="942975"/>
                <a:pt x="3344862" y="963613"/>
                <a:pt x="3686175" y="952500"/>
              </a:cubicBezTo>
              <a:cubicBezTo>
                <a:pt x="4027488" y="941387"/>
                <a:pt x="4168775" y="858838"/>
                <a:pt x="4648200" y="857250"/>
              </a:cubicBezTo>
              <a:cubicBezTo>
                <a:pt x="5127625" y="855662"/>
                <a:pt x="6015038" y="939800"/>
                <a:pt x="6562725" y="942975"/>
              </a:cubicBezTo>
              <a:cubicBezTo>
                <a:pt x="7110412" y="946150"/>
                <a:pt x="7458075" y="893762"/>
                <a:pt x="7934325" y="876300"/>
              </a:cubicBezTo>
              <a:cubicBezTo>
                <a:pt x="8410575" y="858838"/>
                <a:pt x="9105900" y="887412"/>
                <a:pt x="9420225" y="838200"/>
              </a:cubicBezTo>
              <a:cubicBezTo>
                <a:pt x="9734550" y="788988"/>
                <a:pt x="9698038" y="652462"/>
                <a:pt x="9820275" y="581025"/>
              </a:cubicBezTo>
              <a:cubicBezTo>
                <a:pt x="9942512" y="509588"/>
                <a:pt x="10042525" y="473075"/>
                <a:pt x="10153650" y="409575"/>
              </a:cubicBezTo>
              <a:cubicBezTo>
                <a:pt x="10264775" y="346075"/>
                <a:pt x="10367963" y="268287"/>
                <a:pt x="10487025" y="200025"/>
              </a:cubicBezTo>
              <a:cubicBezTo>
                <a:pt x="10606087" y="131763"/>
                <a:pt x="10868025" y="0"/>
                <a:pt x="10868025" y="0"/>
              </a:cubicBezTo>
              <a:lnTo>
                <a:pt x="10868025" y="0"/>
              </a:lnTo>
            </a:path>
          </a:pathLst>
        </a:custGeom>
        <a:noFill/>
        <a:ln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34</xdr:row>
      <xdr:rowOff>379</xdr:rowOff>
    </xdr:from>
    <xdr:to>
      <xdr:col>33</xdr:col>
      <xdr:colOff>33190</xdr:colOff>
      <xdr:row>36</xdr:row>
      <xdr:rowOff>95337</xdr:rowOff>
    </xdr:to>
    <xdr:sp macro="" textlink="">
      <xdr:nvSpPr>
        <xdr:cNvPr id="3" name="Free-form: Shape 2">
          <a:extLst>
            <a:ext uri="{FF2B5EF4-FFF2-40B4-BE49-F238E27FC236}">
              <a16:creationId xmlns:a16="http://schemas.microsoft.com/office/drawing/2014/main" id="{472C94B2-51EC-00AA-F763-2D6730075BB4}"/>
            </a:ext>
          </a:extLst>
        </xdr:cNvPr>
        <xdr:cNvSpPr/>
      </xdr:nvSpPr>
      <xdr:spPr>
        <a:xfrm>
          <a:off x="1095375" y="6477379"/>
          <a:ext cx="4909990" cy="475958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40</xdr:row>
      <xdr:rowOff>0</xdr:rowOff>
    </xdr:from>
    <xdr:to>
      <xdr:col>68</xdr:col>
      <xdr:colOff>28575</xdr:colOff>
      <xdr:row>44</xdr:row>
      <xdr:rowOff>28575</xdr:rowOff>
    </xdr:to>
    <xdr:sp macro="" textlink="">
      <xdr:nvSpPr>
        <xdr:cNvPr id="3" name="Free-form: Shape 2">
          <a:extLst>
            <a:ext uri="{FF2B5EF4-FFF2-40B4-BE49-F238E27FC236}">
              <a16:creationId xmlns:a16="http://schemas.microsoft.com/office/drawing/2014/main" id="{63D19381-6F28-4524-0328-787E2CDD6BF4}"/>
            </a:ext>
          </a:extLst>
        </xdr:cNvPr>
        <xdr:cNvSpPr/>
      </xdr:nvSpPr>
      <xdr:spPr>
        <a:xfrm>
          <a:off x="1466850" y="7620000"/>
          <a:ext cx="10868025" cy="790575"/>
        </a:xfrm>
        <a:custGeom>
          <a:avLst/>
          <a:gdLst>
            <a:gd name="csX0" fmla="*/ 0 w 10868025"/>
            <a:gd name="csY0" fmla="*/ 9525 h 955626"/>
            <a:gd name="csX1" fmla="*/ 238125 w 10868025"/>
            <a:gd name="csY1" fmla="*/ 219075 h 955626"/>
            <a:gd name="csX2" fmla="*/ 476250 w 10868025"/>
            <a:gd name="csY2" fmla="*/ 304800 h 955626"/>
            <a:gd name="csX3" fmla="*/ 628650 w 10868025"/>
            <a:gd name="csY3" fmla="*/ 438150 h 955626"/>
            <a:gd name="csX4" fmla="*/ 952500 w 10868025"/>
            <a:gd name="csY4" fmla="*/ 485775 h 955626"/>
            <a:gd name="csX5" fmla="*/ 1371600 w 10868025"/>
            <a:gd name="csY5" fmla="*/ 552450 h 955626"/>
            <a:gd name="csX6" fmla="*/ 1600200 w 10868025"/>
            <a:gd name="csY6" fmla="*/ 742950 h 955626"/>
            <a:gd name="csX7" fmla="*/ 1971675 w 10868025"/>
            <a:gd name="csY7" fmla="*/ 838200 h 955626"/>
            <a:gd name="csX8" fmla="*/ 2600325 w 10868025"/>
            <a:gd name="csY8" fmla="*/ 923925 h 955626"/>
            <a:gd name="csX9" fmla="*/ 3686175 w 10868025"/>
            <a:gd name="csY9" fmla="*/ 952500 h 955626"/>
            <a:gd name="csX10" fmla="*/ 4648200 w 10868025"/>
            <a:gd name="csY10" fmla="*/ 857250 h 955626"/>
            <a:gd name="csX11" fmla="*/ 6562725 w 10868025"/>
            <a:gd name="csY11" fmla="*/ 942975 h 955626"/>
            <a:gd name="csX12" fmla="*/ 7934325 w 10868025"/>
            <a:gd name="csY12" fmla="*/ 876300 h 955626"/>
            <a:gd name="csX13" fmla="*/ 9420225 w 10868025"/>
            <a:gd name="csY13" fmla="*/ 838200 h 955626"/>
            <a:gd name="csX14" fmla="*/ 9820275 w 10868025"/>
            <a:gd name="csY14" fmla="*/ 581025 h 955626"/>
            <a:gd name="csX15" fmla="*/ 10153650 w 10868025"/>
            <a:gd name="csY15" fmla="*/ 409575 h 955626"/>
            <a:gd name="csX16" fmla="*/ 10487025 w 10868025"/>
            <a:gd name="csY16" fmla="*/ 200025 h 955626"/>
            <a:gd name="csX17" fmla="*/ 10868025 w 10868025"/>
            <a:gd name="csY17" fmla="*/ 0 h 955626"/>
            <a:gd name="csX18" fmla="*/ 10868025 w 10868025"/>
            <a:gd name="csY18" fmla="*/ 0 h 9556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10868025" h="955626">
              <a:moveTo>
                <a:pt x="0" y="9525"/>
              </a:moveTo>
              <a:cubicBezTo>
                <a:pt x="79375" y="89694"/>
                <a:pt x="158750" y="169863"/>
                <a:pt x="238125" y="219075"/>
              </a:cubicBezTo>
              <a:cubicBezTo>
                <a:pt x="317500" y="268287"/>
                <a:pt x="411162" y="268287"/>
                <a:pt x="476250" y="304800"/>
              </a:cubicBezTo>
              <a:cubicBezTo>
                <a:pt x="541338" y="341313"/>
                <a:pt x="549275" y="407988"/>
                <a:pt x="628650" y="438150"/>
              </a:cubicBezTo>
              <a:cubicBezTo>
                <a:pt x="708025" y="468313"/>
                <a:pt x="952500" y="485775"/>
                <a:pt x="952500" y="485775"/>
              </a:cubicBezTo>
              <a:cubicBezTo>
                <a:pt x="1076325" y="504825"/>
                <a:pt x="1263650" y="509588"/>
                <a:pt x="1371600" y="552450"/>
              </a:cubicBezTo>
              <a:cubicBezTo>
                <a:pt x="1479550" y="595313"/>
                <a:pt x="1500188" y="695325"/>
                <a:pt x="1600200" y="742950"/>
              </a:cubicBezTo>
              <a:cubicBezTo>
                <a:pt x="1700212" y="790575"/>
                <a:pt x="1804988" y="808038"/>
                <a:pt x="1971675" y="838200"/>
              </a:cubicBezTo>
              <a:cubicBezTo>
                <a:pt x="2138363" y="868363"/>
                <a:pt x="2314575" y="904875"/>
                <a:pt x="2600325" y="923925"/>
              </a:cubicBezTo>
              <a:cubicBezTo>
                <a:pt x="2886075" y="942975"/>
                <a:pt x="3344862" y="963613"/>
                <a:pt x="3686175" y="952500"/>
              </a:cubicBezTo>
              <a:cubicBezTo>
                <a:pt x="4027488" y="941387"/>
                <a:pt x="4168775" y="858838"/>
                <a:pt x="4648200" y="857250"/>
              </a:cubicBezTo>
              <a:cubicBezTo>
                <a:pt x="5127625" y="855662"/>
                <a:pt x="6015038" y="939800"/>
                <a:pt x="6562725" y="942975"/>
              </a:cubicBezTo>
              <a:cubicBezTo>
                <a:pt x="7110412" y="946150"/>
                <a:pt x="7458075" y="893762"/>
                <a:pt x="7934325" y="876300"/>
              </a:cubicBezTo>
              <a:cubicBezTo>
                <a:pt x="8410575" y="858838"/>
                <a:pt x="9105900" y="887412"/>
                <a:pt x="9420225" y="838200"/>
              </a:cubicBezTo>
              <a:cubicBezTo>
                <a:pt x="9734550" y="788988"/>
                <a:pt x="9698038" y="652462"/>
                <a:pt x="9820275" y="581025"/>
              </a:cubicBezTo>
              <a:cubicBezTo>
                <a:pt x="9942512" y="509588"/>
                <a:pt x="10042525" y="473075"/>
                <a:pt x="10153650" y="409575"/>
              </a:cubicBezTo>
              <a:cubicBezTo>
                <a:pt x="10264775" y="346075"/>
                <a:pt x="10367963" y="268287"/>
                <a:pt x="10487025" y="200025"/>
              </a:cubicBezTo>
              <a:cubicBezTo>
                <a:pt x="10606087" y="131763"/>
                <a:pt x="10868025" y="0"/>
                <a:pt x="10868025" y="0"/>
              </a:cubicBezTo>
              <a:lnTo>
                <a:pt x="10868025" y="0"/>
              </a:lnTo>
            </a:path>
          </a:pathLst>
        </a:custGeom>
        <a:noFill/>
        <a:ln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D426-A621-4C2A-B28E-C47FC4EBF010}">
  <sheetPr>
    <pageSetUpPr fitToPage="1"/>
  </sheetPr>
  <dimension ref="A1:AX58"/>
  <sheetViews>
    <sheetView tabSelected="1" workbookViewId="0">
      <selection activeCell="E9" sqref="E9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49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32">
        <f>SUM(I4:AE4)</f>
        <v>45</v>
      </c>
      <c r="U1" s="36"/>
      <c r="V1" s="36"/>
      <c r="W1" s="8"/>
      <c r="X1" s="8"/>
      <c r="Y1" s="8"/>
      <c r="Z1" s="8"/>
      <c r="AA1" s="8"/>
      <c r="AB1" s="8"/>
      <c r="AC1" s="8"/>
      <c r="AD1" s="8"/>
      <c r="AE1" s="9"/>
    </row>
    <row r="2" spans="5:49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6"/>
      <c r="U2" s="36"/>
      <c r="V2" s="36"/>
      <c r="W2" s="3"/>
      <c r="X2" s="3"/>
      <c r="Y2" s="3"/>
      <c r="Z2" s="3"/>
      <c r="AA2" s="3"/>
      <c r="AB2" s="3"/>
      <c r="AC2" s="3"/>
      <c r="AD2" s="3"/>
      <c r="AE2" s="4"/>
    </row>
    <row r="4" spans="5:49" x14ac:dyDescent="0.25">
      <c r="I4" s="70">
        <v>10</v>
      </c>
      <c r="J4" s="70"/>
      <c r="K4" s="70"/>
      <c r="L4" s="70"/>
      <c r="M4" s="70"/>
      <c r="N4" s="70">
        <v>10</v>
      </c>
      <c r="O4" s="70"/>
      <c r="P4" s="70"/>
      <c r="Q4" s="70"/>
      <c r="R4" s="70"/>
      <c r="S4" s="70">
        <v>10</v>
      </c>
      <c r="T4" s="70"/>
      <c r="U4" s="70"/>
      <c r="V4" s="70"/>
      <c r="W4" s="70"/>
      <c r="X4" s="70">
        <v>10</v>
      </c>
      <c r="Y4" s="70"/>
      <c r="Z4" s="70"/>
      <c r="AA4" s="70"/>
      <c r="AB4" s="70"/>
      <c r="AC4" s="70">
        <v>5</v>
      </c>
      <c r="AD4" s="70"/>
      <c r="AE4" s="70"/>
      <c r="AI4" s="69" t="s">
        <v>0</v>
      </c>
      <c r="AJ4" s="69"/>
      <c r="AK4" s="69"/>
      <c r="AL4" s="69"/>
      <c r="AM4" s="69"/>
      <c r="AN4" s="69" t="s">
        <v>1</v>
      </c>
      <c r="AO4" s="69"/>
      <c r="AP4" s="69"/>
      <c r="AQ4" s="69"/>
      <c r="AR4" s="69"/>
      <c r="AS4" s="69" t="s">
        <v>2</v>
      </c>
      <c r="AT4" s="69"/>
      <c r="AU4" s="69"/>
      <c r="AV4" s="69"/>
      <c r="AW4" s="69"/>
    </row>
    <row r="5" spans="5:49" x14ac:dyDescent="0.25">
      <c r="E5" s="4"/>
      <c r="F5" s="2"/>
      <c r="H5" s="59">
        <v>10</v>
      </c>
      <c r="I5" s="39">
        <f>100-1.35</f>
        <v>98.65</v>
      </c>
      <c r="J5" s="40"/>
      <c r="K5" s="40"/>
      <c r="L5" s="40"/>
      <c r="M5" s="41"/>
      <c r="N5" s="39">
        <f>100-1.26</f>
        <v>98.74</v>
      </c>
      <c r="O5" s="40"/>
      <c r="P5" s="40"/>
      <c r="Q5" s="40"/>
      <c r="R5" s="41"/>
      <c r="S5" s="39">
        <f>100-1.29</f>
        <v>98.71</v>
      </c>
      <c r="T5" s="40"/>
      <c r="U5" s="40"/>
      <c r="V5" s="40"/>
      <c r="W5" s="41"/>
      <c r="X5" s="39">
        <f>100-1.34</f>
        <v>98.66</v>
      </c>
      <c r="Y5" s="40"/>
      <c r="Z5" s="40"/>
      <c r="AA5" s="40"/>
      <c r="AB5" s="41"/>
      <c r="AC5" s="39">
        <f>100-1.25</f>
        <v>98.75</v>
      </c>
      <c r="AD5" s="40"/>
      <c r="AE5" s="41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</row>
    <row r="6" spans="5:49" x14ac:dyDescent="0.25">
      <c r="E6" s="6"/>
      <c r="F6" s="5"/>
      <c r="H6" s="59"/>
      <c r="I6" s="42"/>
      <c r="J6" s="32"/>
      <c r="K6" s="32"/>
      <c r="L6" s="32"/>
      <c r="M6" s="43"/>
      <c r="N6" s="42"/>
      <c r="O6" s="32"/>
      <c r="P6" s="32"/>
      <c r="Q6" s="32"/>
      <c r="R6" s="43"/>
      <c r="S6" s="42"/>
      <c r="T6" s="32"/>
      <c r="U6" s="32"/>
      <c r="V6" s="32"/>
      <c r="W6" s="43"/>
      <c r="X6" s="42"/>
      <c r="Y6" s="32"/>
      <c r="Z6" s="32"/>
      <c r="AA6" s="32"/>
      <c r="AB6" s="43"/>
      <c r="AC6" s="42"/>
      <c r="AD6" s="32"/>
      <c r="AE6" s="43"/>
      <c r="AI6" s="37" t="s">
        <v>32</v>
      </c>
      <c r="AJ6" s="37"/>
      <c r="AK6" s="37"/>
      <c r="AL6" s="37"/>
      <c r="AM6" s="37"/>
      <c r="AN6" s="38">
        <f>SUM(I5+N5+S5+X5)/4</f>
        <v>98.69</v>
      </c>
      <c r="AO6" s="38"/>
      <c r="AP6" s="38"/>
      <c r="AQ6" s="38"/>
      <c r="AR6" s="38"/>
      <c r="AS6" s="38">
        <f>100-AN6</f>
        <v>1.3100000000000023</v>
      </c>
      <c r="AT6" s="38"/>
      <c r="AU6" s="38"/>
      <c r="AV6" s="38"/>
      <c r="AW6" s="38"/>
    </row>
    <row r="7" spans="5:49" x14ac:dyDescent="0.25">
      <c r="E7" s="6"/>
      <c r="F7" s="5"/>
      <c r="H7" s="59"/>
      <c r="I7" s="42"/>
      <c r="J7" s="32"/>
      <c r="K7" s="32"/>
      <c r="L7" s="32"/>
      <c r="M7" s="43"/>
      <c r="N7" s="42"/>
      <c r="O7" s="32"/>
      <c r="P7" s="32"/>
      <c r="Q7" s="32"/>
      <c r="R7" s="43"/>
      <c r="S7" s="42"/>
      <c r="T7" s="32"/>
      <c r="U7" s="32"/>
      <c r="V7" s="32"/>
      <c r="W7" s="43"/>
      <c r="X7" s="42"/>
      <c r="Y7" s="32"/>
      <c r="Z7" s="32"/>
      <c r="AA7" s="32"/>
      <c r="AB7" s="43"/>
      <c r="AC7" s="42"/>
      <c r="AD7" s="32"/>
      <c r="AE7" s="43"/>
      <c r="AI7" s="37"/>
      <c r="AJ7" s="37"/>
      <c r="AK7" s="37"/>
      <c r="AL7" s="37"/>
      <c r="AM7" s="37"/>
      <c r="AN7" s="38"/>
      <c r="AO7" s="38"/>
      <c r="AP7" s="38"/>
      <c r="AQ7" s="38"/>
      <c r="AR7" s="38"/>
      <c r="AS7" s="38"/>
      <c r="AT7" s="38"/>
      <c r="AU7" s="38"/>
      <c r="AV7" s="38"/>
      <c r="AW7" s="38"/>
    </row>
    <row r="8" spans="5:49" x14ac:dyDescent="0.25">
      <c r="E8" s="6"/>
      <c r="F8" s="5"/>
      <c r="H8" s="59"/>
      <c r="I8" s="44">
        <v>1</v>
      </c>
      <c r="J8" s="36"/>
      <c r="K8" s="36"/>
      <c r="L8" s="36"/>
      <c r="M8" s="45"/>
      <c r="N8" s="44">
        <v>2</v>
      </c>
      <c r="O8" s="36"/>
      <c r="P8" s="36"/>
      <c r="Q8" s="36"/>
      <c r="R8" s="45"/>
      <c r="S8" s="44">
        <v>3</v>
      </c>
      <c r="T8" s="36"/>
      <c r="U8" s="36"/>
      <c r="V8" s="36"/>
      <c r="W8" s="45"/>
      <c r="X8" s="44">
        <v>4</v>
      </c>
      <c r="Y8" s="36"/>
      <c r="Z8" s="36"/>
      <c r="AA8" s="36"/>
      <c r="AB8" s="45"/>
      <c r="AC8" s="44">
        <v>5</v>
      </c>
      <c r="AD8" s="36"/>
      <c r="AE8" s="45"/>
      <c r="AI8" s="37" t="s">
        <v>31</v>
      </c>
      <c r="AJ8" s="37"/>
      <c r="AK8" s="37"/>
      <c r="AL8" s="37"/>
      <c r="AM8" s="37"/>
      <c r="AN8" s="38">
        <f>SUM(AC5+AC10+AC15+AC20+AC25+AC30+AC35)/7</f>
        <v>98.747142857142848</v>
      </c>
      <c r="AO8" s="38"/>
      <c r="AP8" s="38"/>
      <c r="AQ8" s="38"/>
      <c r="AR8" s="38"/>
      <c r="AS8" s="38">
        <f t="shared" ref="AS8:AS21" si="0">100-AN8</f>
        <v>1.2528571428571524</v>
      </c>
      <c r="AT8" s="38"/>
      <c r="AU8" s="38"/>
      <c r="AV8" s="38"/>
      <c r="AW8" s="38"/>
    </row>
    <row r="9" spans="5:49" x14ac:dyDescent="0.25">
      <c r="E9" s="6"/>
      <c r="F9" s="5"/>
      <c r="H9" s="59"/>
      <c r="I9" s="46"/>
      <c r="J9" s="47"/>
      <c r="K9" s="47"/>
      <c r="L9" s="47"/>
      <c r="M9" s="48"/>
      <c r="N9" s="46"/>
      <c r="O9" s="47"/>
      <c r="P9" s="47"/>
      <c r="Q9" s="47"/>
      <c r="R9" s="48"/>
      <c r="S9" s="46"/>
      <c r="T9" s="47"/>
      <c r="U9" s="47"/>
      <c r="V9" s="47"/>
      <c r="W9" s="48"/>
      <c r="X9" s="46"/>
      <c r="Y9" s="47"/>
      <c r="Z9" s="47"/>
      <c r="AA9" s="47"/>
      <c r="AB9" s="48"/>
      <c r="AC9" s="46"/>
      <c r="AD9" s="47"/>
      <c r="AE9" s="48"/>
      <c r="AI9" s="37"/>
      <c r="AJ9" s="37"/>
      <c r="AK9" s="37"/>
      <c r="AL9" s="37"/>
      <c r="AM9" s="37"/>
      <c r="AN9" s="38"/>
      <c r="AO9" s="38"/>
      <c r="AP9" s="38"/>
      <c r="AQ9" s="38"/>
      <c r="AR9" s="38"/>
      <c r="AS9" s="38"/>
      <c r="AT9" s="38"/>
      <c r="AU9" s="38"/>
      <c r="AV9" s="38"/>
      <c r="AW9" s="38"/>
    </row>
    <row r="10" spans="5:49" ht="15" customHeight="1" x14ac:dyDescent="0.25">
      <c r="E10" s="6"/>
      <c r="F10" s="5"/>
      <c r="H10" s="59">
        <v>10</v>
      </c>
      <c r="I10" s="39">
        <f>100-1.35</f>
        <v>98.65</v>
      </c>
      <c r="J10" s="40"/>
      <c r="K10" s="40"/>
      <c r="L10" s="40"/>
      <c r="M10" s="41"/>
      <c r="N10" s="39">
        <f>SUM(I10+I5+N5)/3-0.25</f>
        <v>98.43</v>
      </c>
      <c r="O10" s="40"/>
      <c r="P10" s="40"/>
      <c r="Q10" s="40"/>
      <c r="R10" s="41"/>
      <c r="S10" s="39">
        <f>SUM(N10+X10)/2</f>
        <v>98.444999999999993</v>
      </c>
      <c r="T10" s="40"/>
      <c r="U10" s="40"/>
      <c r="V10" s="40"/>
      <c r="W10" s="41"/>
      <c r="X10" s="39">
        <f>SUM(X5+AC5+AC10)/3-0.25</f>
        <v>98.46</v>
      </c>
      <c r="Y10" s="40"/>
      <c r="Z10" s="40"/>
      <c r="AA10" s="40"/>
      <c r="AB10" s="41"/>
      <c r="AC10" s="39">
        <f>100-1.28</f>
        <v>98.72</v>
      </c>
      <c r="AD10" s="40"/>
      <c r="AE10" s="41"/>
      <c r="AI10" s="37" t="s">
        <v>33</v>
      </c>
      <c r="AJ10" s="37"/>
      <c r="AK10" s="37"/>
      <c r="AL10" s="37"/>
      <c r="AM10" s="37"/>
      <c r="AN10" s="38">
        <f>SUM(X35+S35+N35+I35+I30+I25+I20+I15+I10)/9</f>
        <v>98.682222222222222</v>
      </c>
      <c r="AO10" s="38"/>
      <c r="AP10" s="38"/>
      <c r="AQ10" s="38"/>
      <c r="AR10" s="38"/>
      <c r="AS10" s="38">
        <f t="shared" ref="AS10:AS21" si="1">100-AN10</f>
        <v>1.3177777777777777</v>
      </c>
      <c r="AT10" s="38"/>
      <c r="AU10" s="38"/>
      <c r="AV10" s="38"/>
      <c r="AW10" s="38"/>
    </row>
    <row r="11" spans="5:49" x14ac:dyDescent="0.25">
      <c r="E11" s="6"/>
      <c r="F11" s="5"/>
      <c r="H11" s="59"/>
      <c r="I11" s="42"/>
      <c r="J11" s="32"/>
      <c r="K11" s="32"/>
      <c r="L11" s="32"/>
      <c r="M11" s="43"/>
      <c r="N11" s="42"/>
      <c r="O11" s="32"/>
      <c r="P11" s="32"/>
      <c r="Q11" s="32"/>
      <c r="R11" s="43"/>
      <c r="S11" s="42"/>
      <c r="T11" s="32"/>
      <c r="U11" s="32"/>
      <c r="V11" s="32"/>
      <c r="W11" s="43"/>
      <c r="X11" s="42"/>
      <c r="Y11" s="32"/>
      <c r="Z11" s="32"/>
      <c r="AA11" s="32"/>
      <c r="AB11" s="43"/>
      <c r="AC11" s="42"/>
      <c r="AD11" s="32"/>
      <c r="AE11" s="43"/>
      <c r="AI11" s="37"/>
      <c r="AJ11" s="37"/>
      <c r="AK11" s="37"/>
      <c r="AL11" s="37"/>
      <c r="AM11" s="37"/>
      <c r="AN11" s="38"/>
      <c r="AO11" s="38"/>
      <c r="AP11" s="38"/>
      <c r="AQ11" s="38"/>
      <c r="AR11" s="38"/>
      <c r="AS11" s="38"/>
      <c r="AT11" s="38"/>
      <c r="AU11" s="38"/>
      <c r="AV11" s="38"/>
      <c r="AW11" s="38"/>
    </row>
    <row r="12" spans="5:49" x14ac:dyDescent="0.25">
      <c r="E12" s="6"/>
      <c r="F12" s="5"/>
      <c r="H12" s="59"/>
      <c r="I12" s="42"/>
      <c r="J12" s="32"/>
      <c r="K12" s="32"/>
      <c r="L12" s="32"/>
      <c r="M12" s="43"/>
      <c r="N12" s="42"/>
      <c r="O12" s="32"/>
      <c r="P12" s="32"/>
      <c r="Q12" s="32"/>
      <c r="R12" s="43"/>
      <c r="S12" s="42"/>
      <c r="T12" s="32"/>
      <c r="U12" s="32"/>
      <c r="V12" s="32"/>
      <c r="W12" s="43"/>
      <c r="X12" s="42"/>
      <c r="Y12" s="32"/>
      <c r="Z12" s="32"/>
      <c r="AA12" s="32"/>
      <c r="AB12" s="43"/>
      <c r="AC12" s="42"/>
      <c r="AD12" s="32"/>
      <c r="AE12" s="43"/>
      <c r="AI12" s="37" t="s">
        <v>34</v>
      </c>
      <c r="AJ12" s="37"/>
      <c r="AK12" s="37"/>
      <c r="AL12" s="37"/>
      <c r="AM12" s="37"/>
      <c r="AN12" s="38">
        <f>SUM(N10+S10+X10+X15+X20+X25+X30+S30+N30+N25+N20+N15+S15+S20+S25)/15</f>
        <v>98.477333333333334</v>
      </c>
      <c r="AO12" s="38"/>
      <c r="AP12" s="38"/>
      <c r="AQ12" s="38"/>
      <c r="AR12" s="38"/>
      <c r="AS12" s="38">
        <f t="shared" ref="AS12:AS21" si="2">100-AN12</f>
        <v>1.5226666666666659</v>
      </c>
      <c r="AT12" s="38"/>
      <c r="AU12" s="38"/>
      <c r="AV12" s="38"/>
      <c r="AW12" s="38"/>
    </row>
    <row r="13" spans="5:49" x14ac:dyDescent="0.25">
      <c r="E13" s="6"/>
      <c r="F13" s="5"/>
      <c r="H13" s="59"/>
      <c r="I13" s="44">
        <v>20</v>
      </c>
      <c r="J13" s="36"/>
      <c r="K13" s="36"/>
      <c r="L13" s="36"/>
      <c r="M13" s="45"/>
      <c r="N13" s="44">
        <v>21</v>
      </c>
      <c r="O13" s="36"/>
      <c r="P13" s="36"/>
      <c r="Q13" s="36"/>
      <c r="R13" s="45"/>
      <c r="S13" s="44">
        <v>22</v>
      </c>
      <c r="T13" s="36"/>
      <c r="U13" s="36"/>
      <c r="V13" s="36"/>
      <c r="W13" s="45"/>
      <c r="X13" s="44">
        <v>23</v>
      </c>
      <c r="Y13" s="36"/>
      <c r="Z13" s="36"/>
      <c r="AA13" s="36"/>
      <c r="AB13" s="45"/>
      <c r="AC13" s="44">
        <v>6</v>
      </c>
      <c r="AD13" s="36"/>
      <c r="AE13" s="45"/>
      <c r="AI13" s="37"/>
      <c r="AJ13" s="37"/>
      <c r="AK13" s="37"/>
      <c r="AL13" s="37"/>
      <c r="AM13" s="37"/>
      <c r="AN13" s="38"/>
      <c r="AO13" s="38"/>
      <c r="AP13" s="38"/>
      <c r="AQ13" s="38"/>
      <c r="AR13" s="38"/>
      <c r="AS13" s="38"/>
      <c r="AT13" s="38"/>
      <c r="AU13" s="38"/>
      <c r="AV13" s="38"/>
      <c r="AW13" s="38"/>
    </row>
    <row r="14" spans="5:49" x14ac:dyDescent="0.25">
      <c r="E14" s="6"/>
      <c r="F14" s="5"/>
      <c r="H14" s="59"/>
      <c r="I14" s="46"/>
      <c r="J14" s="47"/>
      <c r="K14" s="47"/>
      <c r="L14" s="47"/>
      <c r="M14" s="48"/>
      <c r="N14" s="46"/>
      <c r="O14" s="47"/>
      <c r="P14" s="47"/>
      <c r="Q14" s="47"/>
      <c r="R14" s="48"/>
      <c r="S14" s="46"/>
      <c r="T14" s="47"/>
      <c r="U14" s="47"/>
      <c r="V14" s="47"/>
      <c r="W14" s="48"/>
      <c r="X14" s="46"/>
      <c r="Y14" s="47"/>
      <c r="Z14" s="47"/>
      <c r="AA14" s="47"/>
      <c r="AB14" s="48"/>
      <c r="AC14" s="46"/>
      <c r="AD14" s="47"/>
      <c r="AE14" s="48"/>
      <c r="AI14" s="37"/>
      <c r="AJ14" s="37"/>
      <c r="AK14" s="37"/>
      <c r="AL14" s="37"/>
      <c r="AM14" s="37"/>
      <c r="AN14" s="38"/>
      <c r="AO14" s="38"/>
      <c r="AP14" s="38"/>
      <c r="AQ14" s="38"/>
      <c r="AR14" s="38"/>
      <c r="AS14" s="38"/>
      <c r="AT14" s="38"/>
      <c r="AU14" s="38"/>
      <c r="AV14" s="38"/>
      <c r="AW14" s="38"/>
    </row>
    <row r="15" spans="5:49" x14ac:dyDescent="0.25">
      <c r="E15" s="6"/>
      <c r="F15" s="5"/>
      <c r="H15" s="59">
        <v>10</v>
      </c>
      <c r="I15" s="39">
        <f>100-1.32</f>
        <v>98.68</v>
      </c>
      <c r="J15" s="40"/>
      <c r="K15" s="40"/>
      <c r="L15" s="40"/>
      <c r="M15" s="41"/>
      <c r="N15" s="39">
        <f>I15-0.25</f>
        <v>98.43</v>
      </c>
      <c r="O15" s="40"/>
      <c r="P15" s="40"/>
      <c r="Q15" s="40"/>
      <c r="R15" s="41"/>
      <c r="S15" s="39">
        <f>SUM(N15+X15)/2</f>
        <v>98.48</v>
      </c>
      <c r="T15" s="40"/>
      <c r="U15" s="40"/>
      <c r="V15" s="40"/>
      <c r="W15" s="41"/>
      <c r="X15" s="39">
        <f>AC15-0.25</f>
        <v>98.53</v>
      </c>
      <c r="Y15" s="40"/>
      <c r="Z15" s="40"/>
      <c r="AA15" s="40"/>
      <c r="AB15" s="41"/>
      <c r="AC15" s="39">
        <f>100-1.22</f>
        <v>98.78</v>
      </c>
      <c r="AD15" s="40"/>
      <c r="AE15" s="41"/>
      <c r="AI15" s="37"/>
      <c r="AJ15" s="37"/>
      <c r="AK15" s="37"/>
      <c r="AL15" s="37"/>
      <c r="AM15" s="37"/>
      <c r="AN15" s="38"/>
      <c r="AO15" s="38"/>
      <c r="AP15" s="38"/>
      <c r="AQ15" s="38"/>
      <c r="AR15" s="38"/>
      <c r="AS15" s="38"/>
      <c r="AT15" s="38"/>
      <c r="AU15" s="38"/>
      <c r="AV15" s="38"/>
      <c r="AW15" s="38"/>
    </row>
    <row r="16" spans="5:49" x14ac:dyDescent="0.25">
      <c r="E16" s="6"/>
      <c r="F16" s="5"/>
      <c r="H16" s="59"/>
      <c r="I16" s="42"/>
      <c r="J16" s="32"/>
      <c r="K16" s="32"/>
      <c r="L16" s="32"/>
      <c r="M16" s="43"/>
      <c r="N16" s="42"/>
      <c r="O16" s="32"/>
      <c r="P16" s="32"/>
      <c r="Q16" s="32"/>
      <c r="R16" s="43"/>
      <c r="S16" s="42"/>
      <c r="T16" s="32"/>
      <c r="U16" s="32"/>
      <c r="V16" s="32"/>
      <c r="W16" s="43"/>
      <c r="X16" s="42"/>
      <c r="Y16" s="32"/>
      <c r="Z16" s="32"/>
      <c r="AA16" s="32"/>
      <c r="AB16" s="43"/>
      <c r="AC16" s="42"/>
      <c r="AD16" s="32"/>
      <c r="AE16" s="43"/>
      <c r="AI16" s="37"/>
      <c r="AJ16" s="37"/>
      <c r="AK16" s="37"/>
      <c r="AL16" s="37"/>
      <c r="AM16" s="37"/>
      <c r="AN16" s="38"/>
      <c r="AO16" s="38"/>
      <c r="AP16" s="38"/>
      <c r="AQ16" s="38"/>
      <c r="AR16" s="38"/>
      <c r="AS16" s="38"/>
      <c r="AT16" s="38"/>
      <c r="AU16" s="38"/>
      <c r="AV16" s="38"/>
      <c r="AW16" s="38"/>
    </row>
    <row r="17" spans="4:49" x14ac:dyDescent="0.25">
      <c r="E17" s="6"/>
      <c r="F17" s="5"/>
      <c r="H17" s="59"/>
      <c r="I17" s="42"/>
      <c r="J17" s="32"/>
      <c r="K17" s="32"/>
      <c r="L17" s="32"/>
      <c r="M17" s="43"/>
      <c r="N17" s="42"/>
      <c r="O17" s="32"/>
      <c r="P17" s="32"/>
      <c r="Q17" s="32"/>
      <c r="R17" s="43"/>
      <c r="S17" s="42"/>
      <c r="T17" s="32"/>
      <c r="U17" s="32"/>
      <c r="V17" s="32"/>
      <c r="W17" s="43"/>
      <c r="X17" s="42"/>
      <c r="Y17" s="32"/>
      <c r="Z17" s="32"/>
      <c r="AA17" s="32"/>
      <c r="AB17" s="43"/>
      <c r="AC17" s="42"/>
      <c r="AD17" s="32"/>
      <c r="AE17" s="43"/>
      <c r="AI17" s="37"/>
      <c r="AJ17" s="37"/>
      <c r="AK17" s="37"/>
      <c r="AL17" s="37"/>
      <c r="AM17" s="37"/>
      <c r="AN17" s="38"/>
      <c r="AO17" s="38"/>
      <c r="AP17" s="38"/>
      <c r="AQ17" s="38"/>
      <c r="AR17" s="38"/>
      <c r="AS17" s="38"/>
      <c r="AT17" s="38"/>
      <c r="AU17" s="38"/>
      <c r="AV17" s="38"/>
      <c r="AW17" s="38"/>
    </row>
    <row r="18" spans="4:49" x14ac:dyDescent="0.25">
      <c r="E18" s="6"/>
      <c r="F18" s="5"/>
      <c r="H18" s="59"/>
      <c r="I18" s="44">
        <v>19</v>
      </c>
      <c r="J18" s="36"/>
      <c r="K18" s="36"/>
      <c r="L18" s="36"/>
      <c r="M18" s="45"/>
      <c r="N18" s="44">
        <v>32</v>
      </c>
      <c r="O18" s="36"/>
      <c r="P18" s="36"/>
      <c r="Q18" s="36"/>
      <c r="R18" s="45"/>
      <c r="S18" s="44">
        <v>33</v>
      </c>
      <c r="T18" s="36"/>
      <c r="U18" s="36"/>
      <c r="V18" s="36"/>
      <c r="W18" s="45"/>
      <c r="X18" s="44">
        <v>24</v>
      </c>
      <c r="Y18" s="36"/>
      <c r="Z18" s="36"/>
      <c r="AA18" s="36"/>
      <c r="AB18" s="45"/>
      <c r="AC18" s="44">
        <v>7</v>
      </c>
      <c r="AD18" s="36"/>
      <c r="AE18" s="45"/>
      <c r="AI18" s="37"/>
      <c r="AJ18" s="37"/>
      <c r="AK18" s="37"/>
      <c r="AL18" s="37"/>
      <c r="AM18" s="37"/>
      <c r="AN18" s="38"/>
      <c r="AO18" s="38"/>
      <c r="AP18" s="38"/>
      <c r="AQ18" s="38"/>
      <c r="AR18" s="38"/>
      <c r="AS18" s="38"/>
      <c r="AT18" s="38"/>
      <c r="AU18" s="38"/>
      <c r="AV18" s="38"/>
      <c r="AW18" s="38"/>
    </row>
    <row r="19" spans="4:49" x14ac:dyDescent="0.25">
      <c r="E19" s="6"/>
      <c r="F19" s="5"/>
      <c r="H19" s="59"/>
      <c r="I19" s="46"/>
      <c r="J19" s="47"/>
      <c r="K19" s="47"/>
      <c r="L19" s="47"/>
      <c r="M19" s="48"/>
      <c r="N19" s="46"/>
      <c r="O19" s="47"/>
      <c r="P19" s="47"/>
      <c r="Q19" s="47"/>
      <c r="R19" s="48"/>
      <c r="S19" s="46"/>
      <c r="T19" s="47"/>
      <c r="U19" s="47"/>
      <c r="V19" s="47"/>
      <c r="W19" s="48"/>
      <c r="X19" s="46"/>
      <c r="Y19" s="47"/>
      <c r="Z19" s="47"/>
      <c r="AA19" s="47"/>
      <c r="AB19" s="48"/>
      <c r="AC19" s="46"/>
      <c r="AD19" s="47"/>
      <c r="AE19" s="48"/>
      <c r="AI19" s="37"/>
      <c r="AJ19" s="37"/>
      <c r="AK19" s="37"/>
      <c r="AL19" s="37"/>
      <c r="AM19" s="37"/>
      <c r="AN19" s="38"/>
      <c r="AO19" s="38"/>
      <c r="AP19" s="38"/>
      <c r="AQ19" s="38"/>
      <c r="AR19" s="38"/>
      <c r="AS19" s="38"/>
      <c r="AT19" s="38"/>
      <c r="AU19" s="38"/>
      <c r="AV19" s="38"/>
      <c r="AW19" s="38"/>
    </row>
    <row r="20" spans="4:49" x14ac:dyDescent="0.25">
      <c r="E20" s="6"/>
      <c r="F20" s="5"/>
      <c r="H20" s="59">
        <v>10</v>
      </c>
      <c r="I20" s="39">
        <f>100-1.3</f>
        <v>98.7</v>
      </c>
      <c r="J20" s="40"/>
      <c r="K20" s="40"/>
      <c r="L20" s="40"/>
      <c r="M20" s="41"/>
      <c r="N20" s="39">
        <f>I20-0.25</f>
        <v>98.45</v>
      </c>
      <c r="O20" s="40"/>
      <c r="P20" s="40"/>
      <c r="Q20" s="40"/>
      <c r="R20" s="41"/>
      <c r="S20" s="39">
        <f>SUM(N20+X20)/2</f>
        <v>98.490000000000009</v>
      </c>
      <c r="T20" s="40"/>
      <c r="U20" s="40"/>
      <c r="V20" s="40"/>
      <c r="W20" s="41"/>
      <c r="X20" s="39">
        <f>AC20-0.25</f>
        <v>98.53</v>
      </c>
      <c r="Y20" s="40"/>
      <c r="Z20" s="40"/>
      <c r="AA20" s="40"/>
      <c r="AB20" s="41"/>
      <c r="AC20" s="39">
        <f>100-1.22</f>
        <v>98.78</v>
      </c>
      <c r="AD20" s="40"/>
      <c r="AE20" s="41"/>
      <c r="AI20" s="37"/>
      <c r="AJ20" s="37"/>
      <c r="AK20" s="37"/>
      <c r="AL20" s="37"/>
      <c r="AM20" s="37"/>
      <c r="AN20" s="38"/>
      <c r="AO20" s="38"/>
      <c r="AP20" s="38"/>
      <c r="AQ20" s="38"/>
      <c r="AR20" s="38"/>
      <c r="AS20" s="38"/>
      <c r="AT20" s="38"/>
      <c r="AU20" s="38"/>
      <c r="AV20" s="38"/>
      <c r="AW20" s="38"/>
    </row>
    <row r="21" spans="4:49" x14ac:dyDescent="0.25">
      <c r="E21" s="6"/>
      <c r="F21" s="5"/>
      <c r="H21" s="59"/>
      <c r="I21" s="42"/>
      <c r="J21" s="32"/>
      <c r="K21" s="32"/>
      <c r="L21" s="32"/>
      <c r="M21" s="43"/>
      <c r="N21" s="42"/>
      <c r="O21" s="32"/>
      <c r="P21" s="32"/>
      <c r="Q21" s="32"/>
      <c r="R21" s="43"/>
      <c r="S21" s="42"/>
      <c r="T21" s="32"/>
      <c r="U21" s="32"/>
      <c r="V21" s="32"/>
      <c r="W21" s="43"/>
      <c r="X21" s="42"/>
      <c r="Y21" s="32"/>
      <c r="Z21" s="32"/>
      <c r="AA21" s="32"/>
      <c r="AB21" s="43"/>
      <c r="AC21" s="42"/>
      <c r="AD21" s="32"/>
      <c r="AE21" s="43"/>
      <c r="AI21" s="37"/>
      <c r="AJ21" s="37"/>
      <c r="AK21" s="37"/>
      <c r="AL21" s="37"/>
      <c r="AM21" s="37"/>
      <c r="AN21" s="38"/>
      <c r="AO21" s="38"/>
      <c r="AP21" s="38"/>
      <c r="AQ21" s="38"/>
      <c r="AR21" s="38"/>
      <c r="AS21" s="38"/>
      <c r="AT21" s="38"/>
      <c r="AU21" s="38"/>
      <c r="AV21" s="38"/>
      <c r="AW21" s="38"/>
    </row>
    <row r="22" spans="4:49" x14ac:dyDescent="0.25">
      <c r="D22" s="32">
        <f>SUM(H3:H37)</f>
        <v>70</v>
      </c>
      <c r="E22" s="32"/>
      <c r="F22" s="32"/>
      <c r="G22" s="32"/>
      <c r="H22" s="59"/>
      <c r="I22" s="42"/>
      <c r="J22" s="32"/>
      <c r="K22" s="32"/>
      <c r="L22" s="32"/>
      <c r="M22" s="43"/>
      <c r="N22" s="42"/>
      <c r="O22" s="32"/>
      <c r="P22" s="32"/>
      <c r="Q22" s="32"/>
      <c r="R22" s="43"/>
      <c r="S22" s="42"/>
      <c r="T22" s="32"/>
      <c r="U22" s="32"/>
      <c r="V22" s="32"/>
      <c r="W22" s="43"/>
      <c r="X22" s="42"/>
      <c r="Y22" s="32"/>
      <c r="Z22" s="32"/>
      <c r="AA22" s="32"/>
      <c r="AB22" s="43"/>
      <c r="AC22" s="42"/>
      <c r="AD22" s="32"/>
      <c r="AE22" s="43"/>
      <c r="AI22" s="77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9"/>
    </row>
    <row r="23" spans="4:49" x14ac:dyDescent="0.25">
      <c r="D23" s="32"/>
      <c r="E23" s="32"/>
      <c r="F23" s="32"/>
      <c r="G23" s="32"/>
      <c r="H23" s="59"/>
      <c r="I23" s="44">
        <v>18</v>
      </c>
      <c r="J23" s="36"/>
      <c r="K23" s="36"/>
      <c r="L23" s="36"/>
      <c r="M23" s="45"/>
      <c r="N23" s="44">
        <v>31</v>
      </c>
      <c r="O23" s="36"/>
      <c r="P23" s="36"/>
      <c r="Q23" s="36"/>
      <c r="R23" s="45"/>
      <c r="S23" s="44">
        <v>34</v>
      </c>
      <c r="T23" s="36"/>
      <c r="U23" s="36"/>
      <c r="V23" s="36"/>
      <c r="W23" s="45"/>
      <c r="X23" s="44">
        <v>25</v>
      </c>
      <c r="Y23" s="36"/>
      <c r="Z23" s="36"/>
      <c r="AA23" s="36"/>
      <c r="AB23" s="45"/>
      <c r="AC23" s="44">
        <v>8</v>
      </c>
      <c r="AD23" s="36"/>
      <c r="AE23" s="45"/>
      <c r="AI23" s="77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9"/>
    </row>
    <row r="24" spans="4:49" x14ac:dyDescent="0.25">
      <c r="D24" s="10"/>
      <c r="E24" s="6"/>
      <c r="F24" s="5"/>
      <c r="G24" s="12"/>
      <c r="H24" s="59"/>
      <c r="I24" s="46"/>
      <c r="J24" s="47"/>
      <c r="K24" s="47"/>
      <c r="L24" s="47"/>
      <c r="M24" s="48"/>
      <c r="N24" s="46"/>
      <c r="O24" s="47"/>
      <c r="P24" s="47"/>
      <c r="Q24" s="47"/>
      <c r="R24" s="48"/>
      <c r="S24" s="46"/>
      <c r="T24" s="47"/>
      <c r="U24" s="47"/>
      <c r="V24" s="47"/>
      <c r="W24" s="48"/>
      <c r="X24" s="46"/>
      <c r="Y24" s="47"/>
      <c r="Z24" s="47"/>
      <c r="AA24" s="47"/>
      <c r="AB24" s="48"/>
      <c r="AC24" s="46"/>
      <c r="AD24" s="47"/>
      <c r="AE24" s="48"/>
      <c r="AI24" s="80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2"/>
    </row>
    <row r="25" spans="4:49" x14ac:dyDescent="0.25">
      <c r="D25" s="10"/>
      <c r="E25" s="6"/>
      <c r="F25" s="5"/>
      <c r="G25" s="12"/>
      <c r="H25" s="59">
        <v>10</v>
      </c>
      <c r="I25" s="39">
        <f>100-1.3</f>
        <v>98.7</v>
      </c>
      <c r="J25" s="40"/>
      <c r="K25" s="40"/>
      <c r="L25" s="40"/>
      <c r="M25" s="41"/>
      <c r="N25" s="39">
        <f>I25-0.25</f>
        <v>98.45</v>
      </c>
      <c r="O25" s="40"/>
      <c r="P25" s="40"/>
      <c r="Q25" s="40"/>
      <c r="R25" s="41"/>
      <c r="S25" s="39">
        <f>SUM(N25+X25)/2</f>
        <v>98.5</v>
      </c>
      <c r="T25" s="40"/>
      <c r="U25" s="40"/>
      <c r="V25" s="40"/>
      <c r="W25" s="41"/>
      <c r="X25" s="39">
        <f>AC25-0.25</f>
        <v>98.55</v>
      </c>
      <c r="Y25" s="40"/>
      <c r="Z25" s="40"/>
      <c r="AA25" s="40"/>
      <c r="AB25" s="41"/>
      <c r="AC25" s="39">
        <f>100-1.2</f>
        <v>98.8</v>
      </c>
      <c r="AD25" s="40"/>
      <c r="AE25" s="41"/>
      <c r="AI25" s="83" t="s">
        <v>35</v>
      </c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1"/>
    </row>
    <row r="26" spans="4:49" x14ac:dyDescent="0.25">
      <c r="D26" s="10"/>
      <c r="E26" s="6"/>
      <c r="F26" s="5"/>
      <c r="G26" s="12"/>
      <c r="H26" s="59"/>
      <c r="I26" s="42"/>
      <c r="J26" s="32"/>
      <c r="K26" s="32"/>
      <c r="L26" s="32"/>
      <c r="M26" s="43"/>
      <c r="N26" s="42"/>
      <c r="O26" s="32"/>
      <c r="P26" s="32"/>
      <c r="Q26" s="32"/>
      <c r="R26" s="43"/>
      <c r="S26" s="42"/>
      <c r="T26" s="32"/>
      <c r="U26" s="32"/>
      <c r="V26" s="32"/>
      <c r="W26" s="43"/>
      <c r="X26" s="42"/>
      <c r="Y26" s="32"/>
      <c r="Z26" s="32"/>
      <c r="AA26" s="32"/>
      <c r="AB26" s="43"/>
      <c r="AC26" s="42"/>
      <c r="AD26" s="32"/>
      <c r="AE26" s="43"/>
      <c r="AI26" s="52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4"/>
    </row>
    <row r="27" spans="4:49" x14ac:dyDescent="0.25">
      <c r="D27" s="10"/>
      <c r="E27" s="6"/>
      <c r="F27" s="5"/>
      <c r="G27" s="12"/>
      <c r="H27" s="59"/>
      <c r="I27" s="42"/>
      <c r="J27" s="32"/>
      <c r="K27" s="32"/>
      <c r="L27" s="32"/>
      <c r="M27" s="43"/>
      <c r="N27" s="42"/>
      <c r="O27" s="32"/>
      <c r="P27" s="32"/>
      <c r="Q27" s="32"/>
      <c r="R27" s="43"/>
      <c r="S27" s="42"/>
      <c r="T27" s="32"/>
      <c r="U27" s="32"/>
      <c r="V27" s="32"/>
      <c r="W27" s="43"/>
      <c r="X27" s="42"/>
      <c r="Y27" s="32"/>
      <c r="Z27" s="32"/>
      <c r="AA27" s="32"/>
      <c r="AB27" s="43"/>
      <c r="AC27" s="42"/>
      <c r="AD27" s="32"/>
      <c r="AE27" s="43"/>
      <c r="AI27" s="52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4"/>
    </row>
    <row r="28" spans="4:49" x14ac:dyDescent="0.25">
      <c r="D28" s="10"/>
      <c r="E28" s="6"/>
      <c r="F28" s="5"/>
      <c r="G28" s="12"/>
      <c r="H28" s="59"/>
      <c r="I28" s="44">
        <v>17</v>
      </c>
      <c r="J28" s="36"/>
      <c r="K28" s="36"/>
      <c r="L28" s="36"/>
      <c r="M28" s="45"/>
      <c r="N28" s="44">
        <v>30</v>
      </c>
      <c r="O28" s="36"/>
      <c r="P28" s="36"/>
      <c r="Q28" s="36"/>
      <c r="R28" s="45"/>
      <c r="S28" s="44">
        <v>35</v>
      </c>
      <c r="T28" s="36"/>
      <c r="U28" s="36"/>
      <c r="V28" s="36"/>
      <c r="W28" s="45"/>
      <c r="X28" s="44">
        <v>26</v>
      </c>
      <c r="Y28" s="36"/>
      <c r="Z28" s="36"/>
      <c r="AA28" s="36"/>
      <c r="AB28" s="45"/>
      <c r="AC28" s="44">
        <v>9</v>
      </c>
      <c r="AD28" s="36"/>
      <c r="AE28" s="45"/>
      <c r="AI28" s="52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4"/>
    </row>
    <row r="29" spans="4:49" x14ac:dyDescent="0.25">
      <c r="D29" s="10"/>
      <c r="E29" s="6"/>
      <c r="F29" s="5"/>
      <c r="G29" s="12"/>
      <c r="H29" s="59"/>
      <c r="I29" s="46"/>
      <c r="J29" s="47"/>
      <c r="K29" s="47"/>
      <c r="L29" s="47"/>
      <c r="M29" s="48"/>
      <c r="N29" s="46"/>
      <c r="O29" s="47"/>
      <c r="P29" s="47"/>
      <c r="Q29" s="47"/>
      <c r="R29" s="48"/>
      <c r="S29" s="46"/>
      <c r="T29" s="47"/>
      <c r="U29" s="47"/>
      <c r="V29" s="47"/>
      <c r="W29" s="48"/>
      <c r="X29" s="46"/>
      <c r="Y29" s="47"/>
      <c r="Z29" s="47"/>
      <c r="AA29" s="47"/>
      <c r="AB29" s="48"/>
      <c r="AC29" s="46"/>
      <c r="AD29" s="47"/>
      <c r="AE29" s="48"/>
      <c r="AI29" s="55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7"/>
    </row>
    <row r="30" spans="4:49" x14ac:dyDescent="0.25">
      <c r="E30" s="6"/>
      <c r="F30" s="5"/>
      <c r="H30" s="59">
        <v>10</v>
      </c>
      <c r="I30" s="39">
        <f>100-1.28</f>
        <v>98.72</v>
      </c>
      <c r="J30" s="40"/>
      <c r="K30" s="40"/>
      <c r="L30" s="40"/>
      <c r="M30" s="41"/>
      <c r="N30" s="39">
        <f>SUM(I30+I35+N35)/3-0.25</f>
        <v>98.463333333333324</v>
      </c>
      <c r="O30" s="40"/>
      <c r="P30" s="40"/>
      <c r="Q30" s="40"/>
      <c r="R30" s="41"/>
      <c r="S30" s="39">
        <f>SUM(N30+X30)/2</f>
        <v>98.471666666666664</v>
      </c>
      <c r="T30" s="40"/>
      <c r="U30" s="40"/>
      <c r="V30" s="40"/>
      <c r="W30" s="41"/>
      <c r="X30" s="39">
        <f>AC30-0.25</f>
        <v>98.48</v>
      </c>
      <c r="Y30" s="40"/>
      <c r="Z30" s="40"/>
      <c r="AA30" s="40"/>
      <c r="AB30" s="41"/>
      <c r="AC30" s="39">
        <f>100-1.27</f>
        <v>98.73</v>
      </c>
      <c r="AD30" s="40"/>
      <c r="AE30" s="41"/>
      <c r="AI30" s="66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8"/>
    </row>
    <row r="31" spans="4:49" x14ac:dyDescent="0.25">
      <c r="E31" s="6"/>
      <c r="F31" s="5"/>
      <c r="H31" s="59"/>
      <c r="I31" s="42"/>
      <c r="J31" s="32"/>
      <c r="K31" s="32"/>
      <c r="L31" s="32"/>
      <c r="M31" s="43"/>
      <c r="N31" s="42"/>
      <c r="O31" s="32"/>
      <c r="P31" s="32"/>
      <c r="Q31" s="32"/>
      <c r="R31" s="43"/>
      <c r="S31" s="42"/>
      <c r="T31" s="32"/>
      <c r="U31" s="32"/>
      <c r="V31" s="32"/>
      <c r="W31" s="43"/>
      <c r="X31" s="42"/>
      <c r="Y31" s="32"/>
      <c r="Z31" s="32"/>
      <c r="AA31" s="32"/>
      <c r="AB31" s="43"/>
      <c r="AC31" s="42"/>
      <c r="AD31" s="32"/>
      <c r="AE31" s="43"/>
      <c r="AI31" s="63" t="s">
        <v>36</v>
      </c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5"/>
    </row>
    <row r="32" spans="4:49" x14ac:dyDescent="0.25">
      <c r="E32" s="6"/>
      <c r="F32" s="5"/>
      <c r="H32" s="59"/>
      <c r="I32" s="42"/>
      <c r="J32" s="32"/>
      <c r="K32" s="32"/>
      <c r="L32" s="32"/>
      <c r="M32" s="43"/>
      <c r="N32" s="42"/>
      <c r="O32" s="32"/>
      <c r="P32" s="32"/>
      <c r="Q32" s="32"/>
      <c r="R32" s="43"/>
      <c r="S32" s="42"/>
      <c r="T32" s="32"/>
      <c r="U32" s="32"/>
      <c r="V32" s="32"/>
      <c r="W32" s="43"/>
      <c r="X32" s="42"/>
      <c r="Y32" s="32"/>
      <c r="Z32" s="32"/>
      <c r="AA32" s="32"/>
      <c r="AB32" s="43"/>
      <c r="AC32" s="42"/>
      <c r="AD32" s="32"/>
      <c r="AE32" s="43"/>
      <c r="AI32" s="66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8"/>
    </row>
    <row r="33" spans="1:50" x14ac:dyDescent="0.25">
      <c r="E33" s="6"/>
      <c r="F33" s="5"/>
      <c r="H33" s="59"/>
      <c r="I33" s="44">
        <v>16</v>
      </c>
      <c r="J33" s="36"/>
      <c r="K33" s="36"/>
      <c r="L33" s="36"/>
      <c r="M33" s="45"/>
      <c r="N33" s="44">
        <v>29</v>
      </c>
      <c r="O33" s="36"/>
      <c r="P33" s="36"/>
      <c r="Q33" s="36"/>
      <c r="R33" s="45"/>
      <c r="S33" s="44">
        <v>28</v>
      </c>
      <c r="T33" s="36"/>
      <c r="U33" s="36"/>
      <c r="V33" s="36"/>
      <c r="W33" s="45"/>
      <c r="X33" s="44">
        <v>27</v>
      </c>
      <c r="Y33" s="36"/>
      <c r="Z33" s="36"/>
      <c r="AA33" s="36"/>
      <c r="AB33" s="45"/>
      <c r="AC33" s="44">
        <v>10</v>
      </c>
      <c r="AD33" s="36"/>
      <c r="AE33" s="45"/>
      <c r="AI33" s="63" t="s">
        <v>37</v>
      </c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5"/>
    </row>
    <row r="34" spans="1:50" x14ac:dyDescent="0.25">
      <c r="E34" s="6"/>
      <c r="F34" s="5"/>
      <c r="H34" s="59"/>
      <c r="I34" s="46"/>
      <c r="J34" s="47"/>
      <c r="K34" s="47"/>
      <c r="L34" s="47"/>
      <c r="M34" s="48"/>
      <c r="N34" s="46"/>
      <c r="O34" s="47"/>
      <c r="P34" s="47"/>
      <c r="Q34" s="47"/>
      <c r="R34" s="48"/>
      <c r="S34" s="46"/>
      <c r="T34" s="47"/>
      <c r="U34" s="47"/>
      <c r="V34" s="47"/>
      <c r="W34" s="48"/>
      <c r="X34" s="46"/>
      <c r="Y34" s="47"/>
      <c r="Z34" s="47"/>
      <c r="AA34" s="47"/>
      <c r="AB34" s="48"/>
      <c r="AC34" s="46"/>
      <c r="AD34" s="47"/>
      <c r="AE34" s="48"/>
      <c r="AI34" s="66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8"/>
    </row>
    <row r="35" spans="1:50" x14ac:dyDescent="0.25">
      <c r="E35" s="6"/>
      <c r="F35" s="5"/>
      <c r="H35" s="59">
        <v>10</v>
      </c>
      <c r="I35" s="39">
        <f>100-1.25</f>
        <v>98.75</v>
      </c>
      <c r="J35" s="40"/>
      <c r="K35" s="40"/>
      <c r="L35" s="40"/>
      <c r="M35" s="41"/>
      <c r="N35" s="39">
        <f>100-1.33</f>
        <v>98.67</v>
      </c>
      <c r="O35" s="40"/>
      <c r="P35" s="40"/>
      <c r="Q35" s="40"/>
      <c r="R35" s="41"/>
      <c r="S35" s="39">
        <f>100-1.35</f>
        <v>98.65</v>
      </c>
      <c r="T35" s="40"/>
      <c r="U35" s="40"/>
      <c r="V35" s="40"/>
      <c r="W35" s="41"/>
      <c r="X35" s="39">
        <f>100-1.38</f>
        <v>98.62</v>
      </c>
      <c r="Y35" s="40"/>
      <c r="Z35" s="40"/>
      <c r="AA35" s="40"/>
      <c r="AB35" s="41"/>
      <c r="AC35" s="39">
        <f>100-1.33</f>
        <v>98.67</v>
      </c>
      <c r="AD35" s="40"/>
      <c r="AE35" s="41"/>
      <c r="AI35" s="63" t="s">
        <v>38</v>
      </c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5"/>
    </row>
    <row r="36" spans="1:50" x14ac:dyDescent="0.25">
      <c r="E36" s="6"/>
      <c r="F36" s="5"/>
      <c r="H36" s="59"/>
      <c r="I36" s="42"/>
      <c r="J36" s="32"/>
      <c r="K36" s="32"/>
      <c r="L36" s="32"/>
      <c r="M36" s="43"/>
      <c r="N36" s="42"/>
      <c r="O36" s="32"/>
      <c r="P36" s="32"/>
      <c r="Q36" s="32"/>
      <c r="R36" s="43"/>
      <c r="S36" s="42"/>
      <c r="T36" s="32"/>
      <c r="U36" s="32"/>
      <c r="V36" s="32"/>
      <c r="W36" s="43"/>
      <c r="X36" s="42"/>
      <c r="Y36" s="32"/>
      <c r="Z36" s="32"/>
      <c r="AA36" s="32"/>
      <c r="AB36" s="43"/>
      <c r="AC36" s="42"/>
      <c r="AD36" s="32"/>
      <c r="AE36" s="43"/>
      <c r="AI36" s="66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8"/>
    </row>
    <row r="37" spans="1:50" x14ac:dyDescent="0.25">
      <c r="E37" s="6"/>
      <c r="F37" s="5"/>
      <c r="H37" s="59"/>
      <c r="I37" s="42"/>
      <c r="J37" s="32"/>
      <c r="K37" s="32"/>
      <c r="L37" s="32"/>
      <c r="M37" s="43"/>
      <c r="N37" s="42"/>
      <c r="O37" s="32"/>
      <c r="P37" s="32"/>
      <c r="Q37" s="32"/>
      <c r="R37" s="43"/>
      <c r="S37" s="42"/>
      <c r="T37" s="32"/>
      <c r="U37" s="32"/>
      <c r="V37" s="32"/>
      <c r="W37" s="43"/>
      <c r="X37" s="42"/>
      <c r="Y37" s="32"/>
      <c r="Z37" s="32"/>
      <c r="AA37" s="32"/>
      <c r="AB37" s="43"/>
      <c r="AC37" s="42"/>
      <c r="AD37" s="32"/>
      <c r="AE37" s="43"/>
      <c r="AI37" s="63" t="s">
        <v>39</v>
      </c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5"/>
    </row>
    <row r="38" spans="1:50" x14ac:dyDescent="0.25">
      <c r="E38" s="6"/>
      <c r="F38" s="5"/>
      <c r="H38" s="59"/>
      <c r="I38" s="44">
        <v>15</v>
      </c>
      <c r="J38" s="36"/>
      <c r="K38" s="36"/>
      <c r="L38" s="36"/>
      <c r="M38" s="45"/>
      <c r="N38" s="44">
        <v>14</v>
      </c>
      <c r="O38" s="36"/>
      <c r="P38" s="36"/>
      <c r="Q38" s="36"/>
      <c r="R38" s="45"/>
      <c r="S38" s="44">
        <v>13</v>
      </c>
      <c r="T38" s="36"/>
      <c r="U38" s="36"/>
      <c r="V38" s="36"/>
      <c r="W38" s="45"/>
      <c r="X38" s="44">
        <v>12</v>
      </c>
      <c r="Y38" s="36"/>
      <c r="Z38" s="36"/>
      <c r="AA38" s="36"/>
      <c r="AB38" s="45"/>
      <c r="AC38" s="44">
        <v>11</v>
      </c>
      <c r="AD38" s="36"/>
      <c r="AE38" s="45"/>
      <c r="AI38" s="66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8"/>
    </row>
    <row r="39" spans="1:50" x14ac:dyDescent="0.25">
      <c r="E39" s="9"/>
      <c r="F39" s="7"/>
      <c r="H39" s="59"/>
      <c r="I39" s="46"/>
      <c r="J39" s="47"/>
      <c r="K39" s="47"/>
      <c r="L39" s="47"/>
      <c r="M39" s="48"/>
      <c r="N39" s="46"/>
      <c r="O39" s="47"/>
      <c r="P39" s="47"/>
      <c r="Q39" s="47"/>
      <c r="R39" s="48"/>
      <c r="S39" s="46"/>
      <c r="T39" s="47"/>
      <c r="U39" s="47"/>
      <c r="V39" s="47"/>
      <c r="W39" s="48"/>
      <c r="X39" s="46"/>
      <c r="Y39" s="47"/>
      <c r="Z39" s="47"/>
      <c r="AA39" s="47"/>
      <c r="AB39" s="48"/>
      <c r="AC39" s="46"/>
      <c r="AD39" s="47"/>
      <c r="AE39" s="48"/>
    </row>
    <row r="42" spans="1:50" x14ac:dyDescent="0.25"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32">
        <f>T1</f>
        <v>45</v>
      </c>
      <c r="Y42" s="32"/>
      <c r="Z42" s="32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9"/>
    </row>
    <row r="43" spans="1:50" x14ac:dyDescent="0.25">
      <c r="A43" s="12"/>
      <c r="B43" s="12"/>
      <c r="C43" s="12"/>
      <c r="D43" s="12"/>
      <c r="E43" s="12"/>
      <c r="F43" s="12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32"/>
      <c r="Y43" s="32"/>
      <c r="Z43" s="32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31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60" t="s">
        <v>9</v>
      </c>
      <c r="B44" s="60"/>
      <c r="C44" s="60"/>
      <c r="D44" s="24"/>
      <c r="E44" s="28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4"/>
      <c r="AQ44" s="28"/>
      <c r="AR44" s="25"/>
      <c r="AS44" s="12"/>
      <c r="AT44" s="12"/>
      <c r="AU44" s="26"/>
      <c r="AV44" s="26"/>
      <c r="AW44" s="26"/>
      <c r="AX44" s="12"/>
    </row>
    <row r="45" spans="1:50" x14ac:dyDescent="0.25">
      <c r="A45" s="61" t="s">
        <v>10</v>
      </c>
      <c r="B45" s="61"/>
      <c r="C45" s="61"/>
      <c r="D45" s="27"/>
      <c r="E45" s="27"/>
      <c r="F45" s="29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3"/>
      <c r="AP45" s="12"/>
      <c r="AQ45" s="12"/>
      <c r="AR45" s="12"/>
      <c r="AS45" s="31"/>
      <c r="AT45" s="18"/>
      <c r="AU45" s="12"/>
      <c r="AV45" s="12"/>
      <c r="AW45" s="12"/>
      <c r="AX45" s="12"/>
    </row>
    <row r="46" spans="1:50" x14ac:dyDescent="0.25">
      <c r="A46" s="62"/>
      <c r="B46" s="62"/>
      <c r="C46" s="62"/>
      <c r="D46" s="23"/>
      <c r="E46" s="23"/>
      <c r="F46" s="30"/>
      <c r="G46" s="14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5"/>
      <c r="AO46" s="16"/>
      <c r="AP46" s="12"/>
      <c r="AQ46" s="12"/>
      <c r="AR46" s="12"/>
      <c r="AS46" s="13"/>
      <c r="AT46" s="11"/>
      <c r="AU46" s="12"/>
      <c r="AV46" s="12"/>
      <c r="AW46" s="12"/>
      <c r="AX46" s="12"/>
    </row>
    <row r="47" spans="1:50" x14ac:dyDescent="0.25">
      <c r="A47" s="36" t="s">
        <v>11</v>
      </c>
      <c r="B47" s="36"/>
      <c r="C47" s="36"/>
      <c r="D47" s="12"/>
      <c r="E47" s="12"/>
      <c r="F47" s="12"/>
      <c r="G47" s="12"/>
      <c r="H47" s="13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3"/>
      <c r="AN47" s="12"/>
      <c r="AO47" s="12"/>
      <c r="AP47" s="12"/>
      <c r="AQ47" s="12"/>
      <c r="AR47" s="32">
        <v>2.5</v>
      </c>
      <c r="AS47" s="32"/>
      <c r="AT47" s="32"/>
      <c r="AU47" s="32"/>
      <c r="AV47" s="12"/>
      <c r="AW47" s="12"/>
      <c r="AX47" s="12"/>
    </row>
    <row r="48" spans="1:50" x14ac:dyDescent="0.25">
      <c r="A48" s="62"/>
      <c r="B48" s="62"/>
      <c r="C48" s="62"/>
      <c r="D48" s="23"/>
      <c r="E48" s="23"/>
      <c r="F48" s="23"/>
      <c r="G48" s="23"/>
      <c r="H48" s="30"/>
      <c r="I48" s="14"/>
      <c r="J48" s="1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5"/>
      <c r="AM48" s="16"/>
      <c r="AN48" s="12"/>
      <c r="AO48" s="12"/>
      <c r="AP48" s="12"/>
      <c r="AQ48" s="12"/>
      <c r="AR48" s="32"/>
      <c r="AS48" s="32"/>
      <c r="AT48" s="32"/>
      <c r="AU48" s="32"/>
      <c r="AV48" s="12"/>
      <c r="AW48" s="12"/>
      <c r="AX48" s="12"/>
    </row>
    <row r="49" spans="1:50" x14ac:dyDescent="0.25">
      <c r="A49" s="62" t="s">
        <v>21</v>
      </c>
      <c r="B49" s="62"/>
      <c r="C49" s="62"/>
      <c r="D49" s="23"/>
      <c r="E49" s="23"/>
      <c r="F49" s="23"/>
      <c r="G49" s="23"/>
      <c r="H49" s="23"/>
      <c r="I49" s="23"/>
      <c r="J49" s="30"/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6"/>
      <c r="AL49" s="12"/>
      <c r="AM49" s="12"/>
      <c r="AN49" s="12"/>
      <c r="AO49" s="12"/>
      <c r="AP49" s="12"/>
      <c r="AQ49" s="12"/>
      <c r="AR49" s="12"/>
      <c r="AS49" s="16"/>
      <c r="AT49" s="14"/>
      <c r="AU49" s="12"/>
      <c r="AV49" s="12"/>
      <c r="AW49" s="12"/>
      <c r="AX49" s="12"/>
    </row>
    <row r="50" spans="1:5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32">
        <f>X42-4</f>
        <v>41</v>
      </c>
      <c r="Y51" s="32"/>
      <c r="Z51" s="32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32"/>
      <c r="Y52" s="32"/>
      <c r="Z52" s="32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31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58" t="s">
        <v>13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</row>
    <row r="55" spans="1:50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</row>
    <row r="56" spans="1:50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</row>
    <row r="57" spans="1:50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50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</sheetData>
  <mergeCells count="125">
    <mergeCell ref="AI12:AM13"/>
    <mergeCell ref="AN12:AR13"/>
    <mergeCell ref="AS12:AW13"/>
    <mergeCell ref="AI14:AM15"/>
    <mergeCell ref="AN14:AR15"/>
    <mergeCell ref="AS14:AW15"/>
    <mergeCell ref="S13:W14"/>
    <mergeCell ref="X13:AB14"/>
    <mergeCell ref="AC13:AE14"/>
    <mergeCell ref="AI8:AM9"/>
    <mergeCell ref="AN8:AR9"/>
    <mergeCell ref="AS8:AW9"/>
    <mergeCell ref="AI10:AM11"/>
    <mergeCell ref="AN10:AR11"/>
    <mergeCell ref="AS10:AW11"/>
    <mergeCell ref="X51:Z52"/>
    <mergeCell ref="A54:AW56"/>
    <mergeCell ref="H10:H14"/>
    <mergeCell ref="I10:M12"/>
    <mergeCell ref="N10:R12"/>
    <mergeCell ref="S10:W12"/>
    <mergeCell ref="X10:AB12"/>
    <mergeCell ref="AC10:AE12"/>
    <mergeCell ref="I13:M14"/>
    <mergeCell ref="N13:R14"/>
    <mergeCell ref="X42:Z43"/>
    <mergeCell ref="A44:C44"/>
    <mergeCell ref="A45:C46"/>
    <mergeCell ref="A47:C48"/>
    <mergeCell ref="AR47:AU48"/>
    <mergeCell ref="A49:C49"/>
    <mergeCell ref="AI35:AW36"/>
    <mergeCell ref="AI37:AW38"/>
    <mergeCell ref="I38:M39"/>
    <mergeCell ref="N38:R39"/>
    <mergeCell ref="S38:W39"/>
    <mergeCell ref="X38:AB39"/>
    <mergeCell ref="AC38:AE39"/>
    <mergeCell ref="H35:H39"/>
    <mergeCell ref="I35:M37"/>
    <mergeCell ref="N35:R37"/>
    <mergeCell ref="S35:W37"/>
    <mergeCell ref="X35:AB37"/>
    <mergeCell ref="AC35:AE37"/>
    <mergeCell ref="AI30:AW30"/>
    <mergeCell ref="AI31:AW32"/>
    <mergeCell ref="I33:M34"/>
    <mergeCell ref="N33:R34"/>
    <mergeCell ref="S33:W34"/>
    <mergeCell ref="X33:AB34"/>
    <mergeCell ref="AC33:AE34"/>
    <mergeCell ref="AI33:AW34"/>
    <mergeCell ref="S28:W29"/>
    <mergeCell ref="X28:AB29"/>
    <mergeCell ref="AC28:AE29"/>
    <mergeCell ref="H30:H34"/>
    <mergeCell ref="I30:M32"/>
    <mergeCell ref="N30:R32"/>
    <mergeCell ref="S30:W32"/>
    <mergeCell ref="X30:AB32"/>
    <mergeCell ref="AC30:AE32"/>
    <mergeCell ref="H25:H29"/>
    <mergeCell ref="I25:M27"/>
    <mergeCell ref="N25:R27"/>
    <mergeCell ref="S25:W27"/>
    <mergeCell ref="X25:AB27"/>
    <mergeCell ref="AC25:AE27"/>
    <mergeCell ref="AI25:AW29"/>
    <mergeCell ref="I28:M29"/>
    <mergeCell ref="N28:R29"/>
    <mergeCell ref="AI20:AM21"/>
    <mergeCell ref="AN20:AR21"/>
    <mergeCell ref="AS20:AW21"/>
    <mergeCell ref="D22:G23"/>
    <mergeCell ref="I23:M24"/>
    <mergeCell ref="N23:R24"/>
    <mergeCell ref="S23:W24"/>
    <mergeCell ref="H20:H24"/>
    <mergeCell ref="I20:M22"/>
    <mergeCell ref="N20:R22"/>
    <mergeCell ref="S20:W22"/>
    <mergeCell ref="X20:AB22"/>
    <mergeCell ref="AC20:AE22"/>
    <mergeCell ref="X23:AB24"/>
    <mergeCell ref="AC23:AE24"/>
    <mergeCell ref="AN16:AR17"/>
    <mergeCell ref="AS16:AW17"/>
    <mergeCell ref="I18:M19"/>
    <mergeCell ref="N18:R19"/>
    <mergeCell ref="S18:W19"/>
    <mergeCell ref="X18:AB19"/>
    <mergeCell ref="AC18:AE19"/>
    <mergeCell ref="AI18:AM19"/>
    <mergeCell ref="AN18:AR19"/>
    <mergeCell ref="AS18:AW19"/>
    <mergeCell ref="H15:H19"/>
    <mergeCell ref="I15:M17"/>
    <mergeCell ref="N15:R17"/>
    <mergeCell ref="S15:W17"/>
    <mergeCell ref="X15:AB17"/>
    <mergeCell ref="AC15:AE17"/>
    <mergeCell ref="AI16:AM17"/>
    <mergeCell ref="AN6:AR7"/>
    <mergeCell ref="AS6:AW7"/>
    <mergeCell ref="I8:M9"/>
    <mergeCell ref="N8:R9"/>
    <mergeCell ref="S8:W9"/>
    <mergeCell ref="X8:AB9"/>
    <mergeCell ref="AC8:AE9"/>
    <mergeCell ref="AI4:AM5"/>
    <mergeCell ref="AN4:AR5"/>
    <mergeCell ref="AS4:AW5"/>
    <mergeCell ref="H5:H9"/>
    <mergeCell ref="I5:M7"/>
    <mergeCell ref="N5:R7"/>
    <mergeCell ref="S5:W7"/>
    <mergeCell ref="X5:AB7"/>
    <mergeCell ref="AC5:AE7"/>
    <mergeCell ref="AI6:AM7"/>
    <mergeCell ref="T1:V2"/>
    <mergeCell ref="I4:M4"/>
    <mergeCell ref="N4:R4"/>
    <mergeCell ref="S4:W4"/>
    <mergeCell ref="X4:AB4"/>
    <mergeCell ref="AC4:AE4"/>
  </mergeCells>
  <phoneticPr fontId="1" type="noConversion"/>
  <pageMargins left="0.25" right="0.25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59C9-F10D-473A-B928-26389041D16D}">
  <sheetPr>
    <pageSetUpPr fitToPage="1"/>
  </sheetPr>
  <dimension ref="A1:AX54"/>
  <sheetViews>
    <sheetView workbookViewId="0">
      <selection activeCell="BH25" sqref="BH25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49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32">
        <f>SUM(I4:AE4)</f>
        <v>45</v>
      </c>
      <c r="U1" s="36"/>
      <c r="V1" s="36"/>
      <c r="W1" s="8"/>
      <c r="X1" s="8"/>
      <c r="Y1" s="8"/>
      <c r="Z1" s="8"/>
      <c r="AA1" s="8"/>
      <c r="AB1" s="8"/>
      <c r="AC1" s="8"/>
      <c r="AD1" s="8"/>
      <c r="AE1" s="9"/>
    </row>
    <row r="2" spans="5:49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6"/>
      <c r="U2" s="36"/>
      <c r="V2" s="36"/>
      <c r="W2" s="3"/>
      <c r="X2" s="3"/>
      <c r="Y2" s="3"/>
      <c r="Z2" s="3"/>
      <c r="AA2" s="3"/>
      <c r="AB2" s="3"/>
      <c r="AC2" s="3"/>
      <c r="AD2" s="3"/>
      <c r="AE2" s="4"/>
    </row>
    <row r="4" spans="5:49" x14ac:dyDescent="0.25">
      <c r="I4" s="70">
        <v>10</v>
      </c>
      <c r="J4" s="70"/>
      <c r="K4" s="70"/>
      <c r="L4" s="70"/>
      <c r="M4" s="70"/>
      <c r="N4" s="70">
        <v>10</v>
      </c>
      <c r="O4" s="70"/>
      <c r="P4" s="70"/>
      <c r="Q4" s="70"/>
      <c r="R4" s="70"/>
      <c r="S4" s="70">
        <v>10</v>
      </c>
      <c r="T4" s="70"/>
      <c r="U4" s="70"/>
      <c r="V4" s="70"/>
      <c r="W4" s="70"/>
      <c r="X4" s="70">
        <v>10</v>
      </c>
      <c r="Y4" s="70"/>
      <c r="Z4" s="70"/>
      <c r="AA4" s="70"/>
      <c r="AB4" s="70"/>
      <c r="AC4" s="70">
        <v>5</v>
      </c>
      <c r="AD4" s="70"/>
      <c r="AE4" s="70"/>
      <c r="AI4" s="69" t="s">
        <v>0</v>
      </c>
      <c r="AJ4" s="69"/>
      <c r="AK4" s="69"/>
      <c r="AL4" s="69"/>
      <c r="AM4" s="69"/>
      <c r="AN4" s="69" t="s">
        <v>1</v>
      </c>
      <c r="AO4" s="69"/>
      <c r="AP4" s="69"/>
      <c r="AQ4" s="69"/>
      <c r="AR4" s="69"/>
      <c r="AS4" s="69" t="s">
        <v>2</v>
      </c>
      <c r="AT4" s="69"/>
      <c r="AU4" s="69"/>
      <c r="AV4" s="69"/>
      <c r="AW4" s="69"/>
    </row>
    <row r="5" spans="5:49" x14ac:dyDescent="0.25">
      <c r="E5" s="4"/>
      <c r="F5" s="2"/>
      <c r="H5" s="59">
        <v>12</v>
      </c>
      <c r="I5" s="39">
        <f>100-1.29</f>
        <v>98.71</v>
      </c>
      <c r="J5" s="40"/>
      <c r="K5" s="40"/>
      <c r="L5" s="40"/>
      <c r="M5" s="41"/>
      <c r="N5" s="39">
        <f>100-1.31</f>
        <v>98.69</v>
      </c>
      <c r="O5" s="40"/>
      <c r="P5" s="40"/>
      <c r="Q5" s="40"/>
      <c r="R5" s="41"/>
      <c r="S5" s="39">
        <f>100-1.35</f>
        <v>98.65</v>
      </c>
      <c r="T5" s="40"/>
      <c r="U5" s="40"/>
      <c r="V5" s="40"/>
      <c r="W5" s="41"/>
      <c r="X5" s="39">
        <f>100-1.28</f>
        <v>98.72</v>
      </c>
      <c r="Y5" s="40"/>
      <c r="Z5" s="40"/>
      <c r="AA5" s="40"/>
      <c r="AB5" s="41"/>
      <c r="AC5" s="39">
        <f>100-1.35</f>
        <v>98.65</v>
      </c>
      <c r="AD5" s="40"/>
      <c r="AE5" s="41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</row>
    <row r="6" spans="5:49" x14ac:dyDescent="0.25">
      <c r="E6" s="6"/>
      <c r="F6" s="5"/>
      <c r="H6" s="59"/>
      <c r="I6" s="42"/>
      <c r="J6" s="32"/>
      <c r="K6" s="32"/>
      <c r="L6" s="32"/>
      <c r="M6" s="43"/>
      <c r="N6" s="42"/>
      <c r="O6" s="32"/>
      <c r="P6" s="32"/>
      <c r="Q6" s="32"/>
      <c r="R6" s="43"/>
      <c r="S6" s="42"/>
      <c r="T6" s="32"/>
      <c r="U6" s="32"/>
      <c r="V6" s="32"/>
      <c r="W6" s="43"/>
      <c r="X6" s="42"/>
      <c r="Y6" s="32"/>
      <c r="Z6" s="32"/>
      <c r="AA6" s="32"/>
      <c r="AB6" s="43"/>
      <c r="AC6" s="42"/>
      <c r="AD6" s="32"/>
      <c r="AE6" s="43"/>
      <c r="AI6" s="37" t="s">
        <v>24</v>
      </c>
      <c r="AJ6" s="37"/>
      <c r="AK6" s="37"/>
      <c r="AL6" s="37"/>
      <c r="AM6" s="37"/>
      <c r="AN6" s="38">
        <f>SUM(I5+N5+S5+X5)/4</f>
        <v>98.692499999999995</v>
      </c>
      <c r="AO6" s="38"/>
      <c r="AP6" s="38"/>
      <c r="AQ6" s="38"/>
      <c r="AR6" s="38"/>
      <c r="AS6" s="38">
        <f>100-AN6</f>
        <v>1.3075000000000045</v>
      </c>
      <c r="AT6" s="38"/>
      <c r="AU6" s="38"/>
      <c r="AV6" s="38"/>
      <c r="AW6" s="38"/>
    </row>
    <row r="7" spans="5:49" x14ac:dyDescent="0.25">
      <c r="E7" s="6"/>
      <c r="F7" s="5"/>
      <c r="H7" s="59"/>
      <c r="I7" s="42"/>
      <c r="J7" s="32"/>
      <c r="K7" s="32"/>
      <c r="L7" s="32"/>
      <c r="M7" s="43"/>
      <c r="N7" s="42"/>
      <c r="O7" s="32"/>
      <c r="P7" s="32"/>
      <c r="Q7" s="32"/>
      <c r="R7" s="43"/>
      <c r="S7" s="42"/>
      <c r="T7" s="32"/>
      <c r="U7" s="32"/>
      <c r="V7" s="32"/>
      <c r="W7" s="43"/>
      <c r="X7" s="42"/>
      <c r="Y7" s="32"/>
      <c r="Z7" s="32"/>
      <c r="AA7" s="32"/>
      <c r="AB7" s="43"/>
      <c r="AC7" s="42"/>
      <c r="AD7" s="32"/>
      <c r="AE7" s="43"/>
      <c r="AI7" s="37"/>
      <c r="AJ7" s="37"/>
      <c r="AK7" s="37"/>
      <c r="AL7" s="37"/>
      <c r="AM7" s="37"/>
      <c r="AN7" s="38"/>
      <c r="AO7" s="38"/>
      <c r="AP7" s="38"/>
      <c r="AQ7" s="38"/>
      <c r="AR7" s="38"/>
      <c r="AS7" s="38"/>
      <c r="AT7" s="38"/>
      <c r="AU7" s="38"/>
      <c r="AV7" s="38"/>
      <c r="AW7" s="38"/>
    </row>
    <row r="8" spans="5:49" x14ac:dyDescent="0.25">
      <c r="E8" s="6"/>
      <c r="F8" s="5"/>
      <c r="H8" s="59"/>
      <c r="I8" s="44">
        <v>1</v>
      </c>
      <c r="J8" s="36"/>
      <c r="K8" s="36"/>
      <c r="L8" s="36"/>
      <c r="M8" s="45"/>
      <c r="N8" s="44">
        <v>2</v>
      </c>
      <c r="O8" s="36"/>
      <c r="P8" s="36"/>
      <c r="Q8" s="36"/>
      <c r="R8" s="45"/>
      <c r="S8" s="44">
        <v>3</v>
      </c>
      <c r="T8" s="36"/>
      <c r="U8" s="36"/>
      <c r="V8" s="36"/>
      <c r="W8" s="45"/>
      <c r="X8" s="44">
        <v>4</v>
      </c>
      <c r="Y8" s="36"/>
      <c r="Z8" s="36"/>
      <c r="AA8" s="36"/>
      <c r="AB8" s="45"/>
      <c r="AC8" s="44">
        <v>5</v>
      </c>
      <c r="AD8" s="36"/>
      <c r="AE8" s="45"/>
      <c r="AI8" s="37" t="s">
        <v>26</v>
      </c>
      <c r="AJ8" s="37"/>
      <c r="AK8" s="37"/>
      <c r="AL8" s="37"/>
      <c r="AM8" s="37"/>
      <c r="AN8" s="38">
        <f>AC5</f>
        <v>98.65</v>
      </c>
      <c r="AO8" s="38"/>
      <c r="AP8" s="38"/>
      <c r="AQ8" s="38"/>
      <c r="AR8" s="38"/>
      <c r="AS8" s="38">
        <f t="shared" ref="AS8" si="0">100-AN8</f>
        <v>1.3499999999999943</v>
      </c>
      <c r="AT8" s="38"/>
      <c r="AU8" s="38"/>
      <c r="AV8" s="38"/>
      <c r="AW8" s="38"/>
    </row>
    <row r="9" spans="5:49" x14ac:dyDescent="0.25">
      <c r="E9" s="6"/>
      <c r="F9" s="5"/>
      <c r="H9" s="59"/>
      <c r="I9" s="44"/>
      <c r="J9" s="36"/>
      <c r="K9" s="36"/>
      <c r="L9" s="36"/>
      <c r="M9" s="45"/>
      <c r="N9" s="44"/>
      <c r="O9" s="36"/>
      <c r="P9" s="36"/>
      <c r="Q9" s="36"/>
      <c r="R9" s="45"/>
      <c r="S9" s="44"/>
      <c r="T9" s="36"/>
      <c r="U9" s="36"/>
      <c r="V9" s="36"/>
      <c r="W9" s="45"/>
      <c r="X9" s="44"/>
      <c r="Y9" s="36"/>
      <c r="Z9" s="36"/>
      <c r="AA9" s="36"/>
      <c r="AB9" s="45"/>
      <c r="AC9" s="44"/>
      <c r="AD9" s="36"/>
      <c r="AE9" s="45"/>
      <c r="AI9" s="37"/>
      <c r="AJ9" s="37"/>
      <c r="AK9" s="37"/>
      <c r="AL9" s="37"/>
      <c r="AM9" s="37"/>
      <c r="AN9" s="38"/>
      <c r="AO9" s="38"/>
      <c r="AP9" s="38"/>
      <c r="AQ9" s="38"/>
      <c r="AR9" s="38"/>
      <c r="AS9" s="38"/>
      <c r="AT9" s="38"/>
      <c r="AU9" s="38"/>
      <c r="AV9" s="38"/>
      <c r="AW9" s="38"/>
    </row>
    <row r="10" spans="5:49" x14ac:dyDescent="0.25">
      <c r="E10" s="6"/>
      <c r="F10" s="5"/>
      <c r="H10" s="59"/>
      <c r="I10" s="46"/>
      <c r="J10" s="47"/>
      <c r="K10" s="47"/>
      <c r="L10" s="47"/>
      <c r="M10" s="48"/>
      <c r="N10" s="46"/>
      <c r="O10" s="47"/>
      <c r="P10" s="47"/>
      <c r="Q10" s="47"/>
      <c r="R10" s="48"/>
      <c r="S10" s="46"/>
      <c r="T10" s="47"/>
      <c r="U10" s="47"/>
      <c r="V10" s="47"/>
      <c r="W10" s="48"/>
      <c r="X10" s="46"/>
      <c r="Y10" s="47"/>
      <c r="Z10" s="47"/>
      <c r="AA10" s="47"/>
      <c r="AB10" s="48"/>
      <c r="AC10" s="46"/>
      <c r="AD10" s="47"/>
      <c r="AE10" s="48"/>
      <c r="AI10" s="37" t="s">
        <v>25</v>
      </c>
      <c r="AJ10" s="37"/>
      <c r="AK10" s="37"/>
      <c r="AL10" s="37"/>
      <c r="AM10" s="37"/>
      <c r="AN10" s="38">
        <f>SUM(AC11+AC16+AC21+AC26+AC31)/5</f>
        <v>98.628</v>
      </c>
      <c r="AO10" s="38"/>
      <c r="AP10" s="38"/>
      <c r="AQ10" s="38"/>
      <c r="AR10" s="38"/>
      <c r="AS10" s="38">
        <f t="shared" ref="AS10" si="1">100-AN10</f>
        <v>1.3719999999999999</v>
      </c>
      <c r="AT10" s="38"/>
      <c r="AU10" s="38"/>
      <c r="AV10" s="38"/>
      <c r="AW10" s="38"/>
    </row>
    <row r="11" spans="5:49" x14ac:dyDescent="0.25">
      <c r="E11" s="6"/>
      <c r="F11" s="5"/>
      <c r="H11" s="59">
        <v>10</v>
      </c>
      <c r="I11" s="39">
        <f>100-1.32</f>
        <v>98.68</v>
      </c>
      <c r="J11" s="40"/>
      <c r="K11" s="40"/>
      <c r="L11" s="40"/>
      <c r="M11" s="41"/>
      <c r="N11" s="39">
        <f>SUM(I11+I5+N5)/3-0.22</f>
        <v>98.473333333333329</v>
      </c>
      <c r="O11" s="40"/>
      <c r="P11" s="40"/>
      <c r="Q11" s="40"/>
      <c r="R11" s="41"/>
      <c r="S11" s="39">
        <f>SUM(N11+S5+X11)/3-0.25</f>
        <v>98.267777777777781</v>
      </c>
      <c r="T11" s="40"/>
      <c r="U11" s="40"/>
      <c r="V11" s="40"/>
      <c r="W11" s="41"/>
      <c r="X11" s="39">
        <f>SUM(X5+AC5+AC11)/3-0.25</f>
        <v>98.43</v>
      </c>
      <c r="Y11" s="40"/>
      <c r="Z11" s="40"/>
      <c r="AA11" s="40"/>
      <c r="AB11" s="41"/>
      <c r="AC11" s="39">
        <f>100-1.33</f>
        <v>98.67</v>
      </c>
      <c r="AD11" s="40"/>
      <c r="AE11" s="41"/>
      <c r="AI11" s="37"/>
      <c r="AJ11" s="37"/>
      <c r="AK11" s="37"/>
      <c r="AL11" s="37"/>
      <c r="AM11" s="37"/>
      <c r="AN11" s="38"/>
      <c r="AO11" s="38"/>
      <c r="AP11" s="38"/>
      <c r="AQ11" s="38"/>
      <c r="AR11" s="38"/>
      <c r="AS11" s="38"/>
      <c r="AT11" s="38"/>
      <c r="AU11" s="38"/>
      <c r="AV11" s="38"/>
      <c r="AW11" s="38"/>
    </row>
    <row r="12" spans="5:49" x14ac:dyDescent="0.25">
      <c r="E12" s="6"/>
      <c r="F12" s="5"/>
      <c r="H12" s="59"/>
      <c r="I12" s="42"/>
      <c r="J12" s="32"/>
      <c r="K12" s="32"/>
      <c r="L12" s="32"/>
      <c r="M12" s="43"/>
      <c r="N12" s="42"/>
      <c r="O12" s="32"/>
      <c r="P12" s="32"/>
      <c r="Q12" s="32"/>
      <c r="R12" s="43"/>
      <c r="S12" s="42"/>
      <c r="T12" s="32"/>
      <c r="U12" s="32"/>
      <c r="V12" s="32"/>
      <c r="W12" s="43"/>
      <c r="X12" s="42"/>
      <c r="Y12" s="32"/>
      <c r="Z12" s="32"/>
      <c r="AA12" s="32"/>
      <c r="AB12" s="43"/>
      <c r="AC12" s="42"/>
      <c r="AD12" s="32"/>
      <c r="AE12" s="43"/>
      <c r="AI12" s="37" t="s">
        <v>27</v>
      </c>
      <c r="AJ12" s="37"/>
      <c r="AK12" s="37"/>
      <c r="AL12" s="37"/>
      <c r="AM12" s="37"/>
      <c r="AN12" s="38">
        <f>SUM(X31+S31+N31+I31+I26+I21+I16+I11)/8</f>
        <v>98.658749999999998</v>
      </c>
      <c r="AO12" s="38"/>
      <c r="AP12" s="38"/>
      <c r="AQ12" s="38"/>
      <c r="AR12" s="38"/>
      <c r="AS12" s="38">
        <f t="shared" ref="AS12" si="2">100-AN12</f>
        <v>1.3412500000000023</v>
      </c>
      <c r="AT12" s="38"/>
      <c r="AU12" s="38"/>
      <c r="AV12" s="38"/>
      <c r="AW12" s="38"/>
    </row>
    <row r="13" spans="5:49" x14ac:dyDescent="0.25">
      <c r="E13" s="6"/>
      <c r="F13" s="5"/>
      <c r="H13" s="59"/>
      <c r="I13" s="42"/>
      <c r="J13" s="32"/>
      <c r="K13" s="32"/>
      <c r="L13" s="32"/>
      <c r="M13" s="43"/>
      <c r="N13" s="42"/>
      <c r="O13" s="32"/>
      <c r="P13" s="32"/>
      <c r="Q13" s="32"/>
      <c r="R13" s="43"/>
      <c r="S13" s="42"/>
      <c r="T13" s="32"/>
      <c r="U13" s="32"/>
      <c r="V13" s="32"/>
      <c r="W13" s="43"/>
      <c r="X13" s="42"/>
      <c r="Y13" s="32"/>
      <c r="Z13" s="32"/>
      <c r="AA13" s="32"/>
      <c r="AB13" s="43"/>
      <c r="AC13" s="42"/>
      <c r="AD13" s="32"/>
      <c r="AE13" s="43"/>
      <c r="AI13" s="37"/>
      <c r="AJ13" s="37"/>
      <c r="AK13" s="37"/>
      <c r="AL13" s="37"/>
      <c r="AM13" s="37"/>
      <c r="AN13" s="38"/>
      <c r="AO13" s="38"/>
      <c r="AP13" s="38"/>
      <c r="AQ13" s="38"/>
      <c r="AR13" s="38"/>
      <c r="AS13" s="38"/>
      <c r="AT13" s="38"/>
      <c r="AU13" s="38"/>
      <c r="AV13" s="38"/>
      <c r="AW13" s="38"/>
    </row>
    <row r="14" spans="5:49" x14ac:dyDescent="0.25">
      <c r="E14" s="6"/>
      <c r="F14" s="5"/>
      <c r="H14" s="59"/>
      <c r="I14" s="44">
        <v>18</v>
      </c>
      <c r="J14" s="36"/>
      <c r="K14" s="36"/>
      <c r="L14" s="36"/>
      <c r="M14" s="45"/>
      <c r="N14" s="44">
        <v>19</v>
      </c>
      <c r="O14" s="36"/>
      <c r="P14" s="36"/>
      <c r="Q14" s="36"/>
      <c r="R14" s="45"/>
      <c r="S14" s="44">
        <v>20</v>
      </c>
      <c r="T14" s="36"/>
      <c r="U14" s="36"/>
      <c r="V14" s="36"/>
      <c r="W14" s="45"/>
      <c r="X14" s="44">
        <v>21</v>
      </c>
      <c r="Y14" s="36"/>
      <c r="Z14" s="36"/>
      <c r="AA14" s="36"/>
      <c r="AB14" s="45"/>
      <c r="AC14" s="44">
        <v>6</v>
      </c>
      <c r="AD14" s="36"/>
      <c r="AE14" s="45"/>
      <c r="AI14" s="37" t="s">
        <v>28</v>
      </c>
      <c r="AJ14" s="37"/>
      <c r="AK14" s="37"/>
      <c r="AL14" s="37"/>
      <c r="AM14" s="37"/>
      <c r="AN14" s="38">
        <f>SUM(N11+S11+X11+X16+X21+X26+S26+N26+N21+N16+S16+S21)/12</f>
        <v>98.358672839506184</v>
      </c>
      <c r="AO14" s="38"/>
      <c r="AP14" s="38"/>
      <c r="AQ14" s="38"/>
      <c r="AR14" s="38"/>
      <c r="AS14" s="38">
        <f t="shared" ref="AS14" si="3">100-AN14</f>
        <v>1.641327160493816</v>
      </c>
      <c r="AT14" s="38"/>
      <c r="AU14" s="38"/>
      <c r="AV14" s="38"/>
      <c r="AW14" s="38"/>
    </row>
    <row r="15" spans="5:49" x14ac:dyDescent="0.25">
      <c r="E15" s="6"/>
      <c r="F15" s="5"/>
      <c r="H15" s="59"/>
      <c r="I15" s="46"/>
      <c r="J15" s="47"/>
      <c r="K15" s="47"/>
      <c r="L15" s="47"/>
      <c r="M15" s="48"/>
      <c r="N15" s="46"/>
      <c r="O15" s="47"/>
      <c r="P15" s="47"/>
      <c r="Q15" s="47"/>
      <c r="R15" s="48"/>
      <c r="S15" s="46"/>
      <c r="T15" s="47"/>
      <c r="U15" s="47"/>
      <c r="V15" s="47"/>
      <c r="W15" s="48"/>
      <c r="X15" s="46"/>
      <c r="Y15" s="47"/>
      <c r="Z15" s="47"/>
      <c r="AA15" s="47"/>
      <c r="AB15" s="48"/>
      <c r="AC15" s="46"/>
      <c r="AD15" s="47"/>
      <c r="AE15" s="48"/>
      <c r="AI15" s="37"/>
      <c r="AJ15" s="37"/>
      <c r="AK15" s="37"/>
      <c r="AL15" s="37"/>
      <c r="AM15" s="37"/>
      <c r="AN15" s="38"/>
      <c r="AO15" s="38"/>
      <c r="AP15" s="38"/>
      <c r="AQ15" s="38"/>
      <c r="AR15" s="38"/>
      <c r="AS15" s="38"/>
      <c r="AT15" s="38"/>
      <c r="AU15" s="38"/>
      <c r="AV15" s="38"/>
      <c r="AW15" s="38"/>
    </row>
    <row r="16" spans="5:49" x14ac:dyDescent="0.25">
      <c r="E16" s="6"/>
      <c r="F16" s="5"/>
      <c r="H16" s="59">
        <v>10</v>
      </c>
      <c r="I16" s="39">
        <f>100-1.39</f>
        <v>98.61</v>
      </c>
      <c r="J16" s="40"/>
      <c r="K16" s="40"/>
      <c r="L16" s="40"/>
      <c r="M16" s="41"/>
      <c r="N16" s="39">
        <f>I16-0.25</f>
        <v>98.36</v>
      </c>
      <c r="O16" s="40"/>
      <c r="P16" s="40"/>
      <c r="Q16" s="40"/>
      <c r="R16" s="41"/>
      <c r="S16" s="39">
        <f>SUM(N16+S11+X16)/3-0.13</f>
        <v>98.202592592592609</v>
      </c>
      <c r="T16" s="40"/>
      <c r="U16" s="40"/>
      <c r="V16" s="40"/>
      <c r="W16" s="41"/>
      <c r="X16" s="39">
        <f>AC16-0.28</f>
        <v>98.37</v>
      </c>
      <c r="Y16" s="40"/>
      <c r="Z16" s="40"/>
      <c r="AA16" s="40"/>
      <c r="AB16" s="41"/>
      <c r="AC16" s="39">
        <f>100-1.35</f>
        <v>98.65</v>
      </c>
      <c r="AD16" s="40"/>
      <c r="AE16" s="41"/>
      <c r="AI16" s="37"/>
      <c r="AJ16" s="37"/>
      <c r="AK16" s="37"/>
      <c r="AL16" s="37"/>
      <c r="AM16" s="37"/>
      <c r="AN16" s="38"/>
      <c r="AO16" s="38"/>
      <c r="AP16" s="38"/>
      <c r="AQ16" s="38"/>
      <c r="AR16" s="38"/>
      <c r="AS16" s="38"/>
      <c r="AT16" s="38"/>
      <c r="AU16" s="38"/>
      <c r="AV16" s="38"/>
      <c r="AW16" s="38"/>
    </row>
    <row r="17" spans="4:49" x14ac:dyDescent="0.25">
      <c r="E17" s="6"/>
      <c r="F17" s="5"/>
      <c r="H17" s="59"/>
      <c r="I17" s="42"/>
      <c r="J17" s="32"/>
      <c r="K17" s="32"/>
      <c r="L17" s="32"/>
      <c r="M17" s="43"/>
      <c r="N17" s="42"/>
      <c r="O17" s="32"/>
      <c r="P17" s="32"/>
      <c r="Q17" s="32"/>
      <c r="R17" s="43"/>
      <c r="S17" s="42"/>
      <c r="T17" s="32"/>
      <c r="U17" s="32"/>
      <c r="V17" s="32"/>
      <c r="W17" s="43"/>
      <c r="X17" s="42"/>
      <c r="Y17" s="32"/>
      <c r="Z17" s="32"/>
      <c r="AA17" s="32"/>
      <c r="AB17" s="43"/>
      <c r="AC17" s="42"/>
      <c r="AD17" s="32"/>
      <c r="AE17" s="43"/>
      <c r="AI17" s="37"/>
      <c r="AJ17" s="37"/>
      <c r="AK17" s="37"/>
      <c r="AL17" s="37"/>
      <c r="AM17" s="37"/>
      <c r="AN17" s="38"/>
      <c r="AO17" s="38"/>
      <c r="AP17" s="38"/>
      <c r="AQ17" s="38"/>
      <c r="AR17" s="38"/>
      <c r="AS17" s="38"/>
      <c r="AT17" s="38"/>
      <c r="AU17" s="38"/>
      <c r="AV17" s="38"/>
      <c r="AW17" s="38"/>
    </row>
    <row r="18" spans="4:49" x14ac:dyDescent="0.25">
      <c r="D18" s="32">
        <f>SUM(H3:H33)</f>
        <v>62</v>
      </c>
      <c r="E18" s="32"/>
      <c r="F18" s="32"/>
      <c r="G18" s="32"/>
      <c r="H18" s="59"/>
      <c r="I18" s="42"/>
      <c r="J18" s="32"/>
      <c r="K18" s="32"/>
      <c r="L18" s="32"/>
      <c r="M18" s="43"/>
      <c r="N18" s="42"/>
      <c r="O18" s="32"/>
      <c r="P18" s="32"/>
      <c r="Q18" s="32"/>
      <c r="R18" s="43"/>
      <c r="S18" s="42"/>
      <c r="T18" s="32"/>
      <c r="U18" s="32"/>
      <c r="V18" s="32"/>
      <c r="W18" s="43"/>
      <c r="X18" s="42"/>
      <c r="Y18" s="32"/>
      <c r="Z18" s="32"/>
      <c r="AA18" s="32"/>
      <c r="AB18" s="43"/>
      <c r="AC18" s="42"/>
      <c r="AD18" s="32"/>
      <c r="AE18" s="43"/>
      <c r="AI18" s="37"/>
      <c r="AJ18" s="37"/>
      <c r="AK18" s="37"/>
      <c r="AL18" s="37"/>
      <c r="AM18" s="37"/>
      <c r="AN18" s="38"/>
      <c r="AO18" s="38"/>
      <c r="AP18" s="38"/>
      <c r="AQ18" s="38"/>
      <c r="AR18" s="38"/>
      <c r="AS18" s="38"/>
      <c r="AT18" s="38"/>
      <c r="AU18" s="38"/>
      <c r="AV18" s="38"/>
      <c r="AW18" s="38"/>
    </row>
    <row r="19" spans="4:49" x14ac:dyDescent="0.25">
      <c r="D19" s="32"/>
      <c r="E19" s="32"/>
      <c r="F19" s="32"/>
      <c r="G19" s="32"/>
      <c r="H19" s="59"/>
      <c r="I19" s="44">
        <v>17</v>
      </c>
      <c r="J19" s="36"/>
      <c r="K19" s="36"/>
      <c r="L19" s="36"/>
      <c r="M19" s="45"/>
      <c r="N19" s="44">
        <v>28</v>
      </c>
      <c r="O19" s="36"/>
      <c r="P19" s="36"/>
      <c r="Q19" s="36"/>
      <c r="R19" s="45"/>
      <c r="S19" s="44">
        <v>29</v>
      </c>
      <c r="T19" s="36"/>
      <c r="U19" s="36"/>
      <c r="V19" s="36"/>
      <c r="W19" s="45"/>
      <c r="X19" s="44">
        <v>22</v>
      </c>
      <c r="Y19" s="36"/>
      <c r="Z19" s="36"/>
      <c r="AA19" s="36"/>
      <c r="AB19" s="45"/>
      <c r="AC19" s="44">
        <v>7</v>
      </c>
      <c r="AD19" s="36"/>
      <c r="AE19" s="45"/>
      <c r="AI19" s="37"/>
      <c r="AJ19" s="37"/>
      <c r="AK19" s="37"/>
      <c r="AL19" s="37"/>
      <c r="AM19" s="37"/>
      <c r="AN19" s="38"/>
      <c r="AO19" s="38"/>
      <c r="AP19" s="38"/>
      <c r="AQ19" s="38"/>
      <c r="AR19" s="38"/>
      <c r="AS19" s="38"/>
      <c r="AT19" s="38"/>
      <c r="AU19" s="38"/>
      <c r="AV19" s="38"/>
      <c r="AW19" s="38"/>
    </row>
    <row r="20" spans="4:49" x14ac:dyDescent="0.25">
      <c r="D20" s="10"/>
      <c r="E20" s="6"/>
      <c r="F20" s="5"/>
      <c r="G20" s="12"/>
      <c r="H20" s="59"/>
      <c r="I20" s="46"/>
      <c r="J20" s="47"/>
      <c r="K20" s="47"/>
      <c r="L20" s="47"/>
      <c r="M20" s="48"/>
      <c r="N20" s="46"/>
      <c r="O20" s="47"/>
      <c r="P20" s="47"/>
      <c r="Q20" s="47"/>
      <c r="R20" s="48"/>
      <c r="S20" s="46"/>
      <c r="T20" s="47"/>
      <c r="U20" s="47"/>
      <c r="V20" s="47"/>
      <c r="W20" s="48"/>
      <c r="X20" s="46"/>
      <c r="Y20" s="47"/>
      <c r="Z20" s="47"/>
      <c r="AA20" s="47"/>
      <c r="AB20" s="48"/>
      <c r="AC20" s="46"/>
      <c r="AD20" s="47"/>
      <c r="AE20" s="48"/>
      <c r="AI20" s="33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5"/>
    </row>
    <row r="21" spans="4:49" x14ac:dyDescent="0.25">
      <c r="D21" s="10"/>
      <c r="E21" s="6"/>
      <c r="F21" s="5"/>
      <c r="G21" s="12"/>
      <c r="H21" s="59">
        <v>10</v>
      </c>
      <c r="I21" s="39">
        <f>100-1.33</f>
        <v>98.67</v>
      </c>
      <c r="J21" s="40"/>
      <c r="K21" s="40"/>
      <c r="L21" s="40"/>
      <c r="M21" s="41"/>
      <c r="N21" s="39">
        <f>I21-0.23</f>
        <v>98.44</v>
      </c>
      <c r="O21" s="40"/>
      <c r="P21" s="40"/>
      <c r="Q21" s="40"/>
      <c r="R21" s="41"/>
      <c r="S21" s="39">
        <f>SUM(N21+S26+X21)/3-0.1</f>
        <v>98.269259259259272</v>
      </c>
      <c r="T21" s="40"/>
      <c r="U21" s="40"/>
      <c r="V21" s="40"/>
      <c r="W21" s="41"/>
      <c r="X21" s="39">
        <f>AC21-0.18</f>
        <v>98.429999999999993</v>
      </c>
      <c r="Y21" s="40"/>
      <c r="Z21" s="40"/>
      <c r="AA21" s="40"/>
      <c r="AB21" s="41"/>
      <c r="AC21" s="39">
        <f>100-1.39</f>
        <v>98.61</v>
      </c>
      <c r="AD21" s="40"/>
      <c r="AE21" s="41"/>
      <c r="AI21" s="49" t="s">
        <v>29</v>
      </c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1"/>
    </row>
    <row r="22" spans="4:49" x14ac:dyDescent="0.25">
      <c r="D22" s="10"/>
      <c r="E22" s="6"/>
      <c r="F22" s="5"/>
      <c r="G22" s="12"/>
      <c r="H22" s="59"/>
      <c r="I22" s="42"/>
      <c r="J22" s="32"/>
      <c r="K22" s="32"/>
      <c r="L22" s="32"/>
      <c r="M22" s="43"/>
      <c r="N22" s="42"/>
      <c r="O22" s="32"/>
      <c r="P22" s="32"/>
      <c r="Q22" s="32"/>
      <c r="R22" s="43"/>
      <c r="S22" s="42"/>
      <c r="T22" s="32"/>
      <c r="U22" s="32"/>
      <c r="V22" s="32"/>
      <c r="W22" s="43"/>
      <c r="X22" s="42"/>
      <c r="Y22" s="32"/>
      <c r="Z22" s="32"/>
      <c r="AA22" s="32"/>
      <c r="AB22" s="43"/>
      <c r="AC22" s="42"/>
      <c r="AD22" s="32"/>
      <c r="AE22" s="43"/>
      <c r="AI22" s="52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4"/>
    </row>
    <row r="23" spans="4:49" x14ac:dyDescent="0.25">
      <c r="D23" s="10"/>
      <c r="E23" s="6"/>
      <c r="F23" s="5"/>
      <c r="G23" s="12"/>
      <c r="H23" s="59"/>
      <c r="I23" s="42"/>
      <c r="J23" s="32"/>
      <c r="K23" s="32"/>
      <c r="L23" s="32"/>
      <c r="M23" s="43"/>
      <c r="N23" s="42"/>
      <c r="O23" s="32"/>
      <c r="P23" s="32"/>
      <c r="Q23" s="32"/>
      <c r="R23" s="43"/>
      <c r="S23" s="42"/>
      <c r="T23" s="32"/>
      <c r="U23" s="32"/>
      <c r="V23" s="32"/>
      <c r="W23" s="43"/>
      <c r="X23" s="42"/>
      <c r="Y23" s="32"/>
      <c r="Z23" s="32"/>
      <c r="AA23" s="32"/>
      <c r="AB23" s="43"/>
      <c r="AC23" s="42"/>
      <c r="AD23" s="32"/>
      <c r="AE23" s="43"/>
      <c r="AI23" s="52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4"/>
    </row>
    <row r="24" spans="4:49" x14ac:dyDescent="0.25">
      <c r="D24" s="10"/>
      <c r="E24" s="6"/>
      <c r="F24" s="5"/>
      <c r="G24" s="12"/>
      <c r="H24" s="59"/>
      <c r="I24" s="44">
        <v>16</v>
      </c>
      <c r="J24" s="36"/>
      <c r="K24" s="36"/>
      <c r="L24" s="36"/>
      <c r="M24" s="45"/>
      <c r="N24" s="44">
        <v>27</v>
      </c>
      <c r="O24" s="36"/>
      <c r="P24" s="36"/>
      <c r="Q24" s="36"/>
      <c r="R24" s="45"/>
      <c r="S24" s="44">
        <v>30</v>
      </c>
      <c r="T24" s="36"/>
      <c r="U24" s="36"/>
      <c r="V24" s="36"/>
      <c r="W24" s="45"/>
      <c r="X24" s="44">
        <v>23</v>
      </c>
      <c r="Y24" s="36"/>
      <c r="Z24" s="36"/>
      <c r="AA24" s="36"/>
      <c r="AB24" s="45"/>
      <c r="AC24" s="44">
        <v>8</v>
      </c>
      <c r="AD24" s="36"/>
      <c r="AE24" s="45"/>
      <c r="AI24" s="52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4"/>
    </row>
    <row r="25" spans="4:49" x14ac:dyDescent="0.25">
      <c r="D25" s="10"/>
      <c r="E25" s="6"/>
      <c r="F25" s="5"/>
      <c r="G25" s="12"/>
      <c r="H25" s="59"/>
      <c r="I25" s="46"/>
      <c r="J25" s="47"/>
      <c r="K25" s="47"/>
      <c r="L25" s="47"/>
      <c r="M25" s="48"/>
      <c r="N25" s="46"/>
      <c r="O25" s="47"/>
      <c r="P25" s="47"/>
      <c r="Q25" s="47"/>
      <c r="R25" s="48"/>
      <c r="S25" s="46"/>
      <c r="T25" s="47"/>
      <c r="U25" s="47"/>
      <c r="V25" s="47"/>
      <c r="W25" s="48"/>
      <c r="X25" s="46"/>
      <c r="Y25" s="47"/>
      <c r="Z25" s="47"/>
      <c r="AA25" s="47"/>
      <c r="AB25" s="48"/>
      <c r="AC25" s="46"/>
      <c r="AD25" s="47"/>
      <c r="AE25" s="48"/>
      <c r="AI25" s="55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7"/>
    </row>
    <row r="26" spans="4:49" x14ac:dyDescent="0.25">
      <c r="E26" s="6"/>
      <c r="F26" s="5"/>
      <c r="H26" s="59">
        <v>10</v>
      </c>
      <c r="I26" s="39">
        <f>100-1.29</f>
        <v>98.71</v>
      </c>
      <c r="J26" s="40"/>
      <c r="K26" s="40"/>
      <c r="L26" s="40"/>
      <c r="M26" s="41"/>
      <c r="N26" s="39">
        <f>SUM(I26+I31+N31)/3-0.22</f>
        <v>98.45</v>
      </c>
      <c r="O26" s="40"/>
      <c r="P26" s="40"/>
      <c r="Q26" s="40"/>
      <c r="R26" s="41"/>
      <c r="S26" s="39">
        <f>SUM(N26+S31+X26)/3-0.25</f>
        <v>98.237777777777794</v>
      </c>
      <c r="T26" s="40"/>
      <c r="U26" s="40"/>
      <c r="V26" s="40"/>
      <c r="W26" s="41"/>
      <c r="X26" s="39">
        <f>SUM(X31+AC31+AC26)/3-0.25</f>
        <v>98.373333333333335</v>
      </c>
      <c r="Y26" s="40"/>
      <c r="Z26" s="40"/>
      <c r="AA26" s="40"/>
      <c r="AB26" s="41"/>
      <c r="AC26" s="39">
        <f>100-1.37</f>
        <v>98.63</v>
      </c>
      <c r="AD26" s="40"/>
      <c r="AE26" s="41"/>
      <c r="AI26" s="66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8"/>
    </row>
    <row r="27" spans="4:49" x14ac:dyDescent="0.25">
      <c r="E27" s="6"/>
      <c r="F27" s="5"/>
      <c r="H27" s="59"/>
      <c r="I27" s="42"/>
      <c r="J27" s="32"/>
      <c r="K27" s="32"/>
      <c r="L27" s="32"/>
      <c r="M27" s="43"/>
      <c r="N27" s="42"/>
      <c r="O27" s="32"/>
      <c r="P27" s="32"/>
      <c r="Q27" s="32"/>
      <c r="R27" s="43"/>
      <c r="S27" s="42"/>
      <c r="T27" s="32"/>
      <c r="U27" s="32"/>
      <c r="V27" s="32"/>
      <c r="W27" s="43"/>
      <c r="X27" s="42"/>
      <c r="Y27" s="32"/>
      <c r="Z27" s="32"/>
      <c r="AA27" s="32"/>
      <c r="AB27" s="43"/>
      <c r="AC27" s="42"/>
      <c r="AD27" s="32"/>
      <c r="AE27" s="43"/>
      <c r="AI27" s="63" t="s">
        <v>30</v>
      </c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5"/>
    </row>
    <row r="28" spans="4:49" x14ac:dyDescent="0.25">
      <c r="E28" s="6"/>
      <c r="F28" s="5"/>
      <c r="H28" s="59"/>
      <c r="I28" s="42"/>
      <c r="J28" s="32"/>
      <c r="K28" s="32"/>
      <c r="L28" s="32"/>
      <c r="M28" s="43"/>
      <c r="N28" s="42"/>
      <c r="O28" s="32"/>
      <c r="P28" s="32"/>
      <c r="Q28" s="32"/>
      <c r="R28" s="43"/>
      <c r="S28" s="42"/>
      <c r="T28" s="32"/>
      <c r="U28" s="32"/>
      <c r="V28" s="32"/>
      <c r="W28" s="43"/>
      <c r="X28" s="42"/>
      <c r="Y28" s="32"/>
      <c r="Z28" s="32"/>
      <c r="AA28" s="32"/>
      <c r="AB28" s="43"/>
      <c r="AC28" s="42"/>
      <c r="AD28" s="32"/>
      <c r="AE28" s="43"/>
      <c r="AI28" s="66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8"/>
    </row>
    <row r="29" spans="4:49" x14ac:dyDescent="0.25">
      <c r="E29" s="6"/>
      <c r="F29" s="5"/>
      <c r="H29" s="59"/>
      <c r="I29" s="44">
        <v>15</v>
      </c>
      <c r="J29" s="36"/>
      <c r="K29" s="36"/>
      <c r="L29" s="36"/>
      <c r="M29" s="45"/>
      <c r="N29" s="44">
        <v>26</v>
      </c>
      <c r="O29" s="36"/>
      <c r="P29" s="36"/>
      <c r="Q29" s="36"/>
      <c r="R29" s="45"/>
      <c r="S29" s="44">
        <v>25</v>
      </c>
      <c r="T29" s="36"/>
      <c r="U29" s="36"/>
      <c r="V29" s="36"/>
      <c r="W29" s="45"/>
      <c r="X29" s="44">
        <v>24</v>
      </c>
      <c r="Y29" s="36"/>
      <c r="Z29" s="36"/>
      <c r="AA29" s="36"/>
      <c r="AB29" s="45"/>
      <c r="AC29" s="44">
        <v>9</v>
      </c>
      <c r="AD29" s="36"/>
      <c r="AE29" s="45"/>
      <c r="AI29" s="63" t="s">
        <v>6</v>
      </c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5"/>
    </row>
    <row r="30" spans="4:49" x14ac:dyDescent="0.25">
      <c r="E30" s="6"/>
      <c r="F30" s="5"/>
      <c r="H30" s="59"/>
      <c r="I30" s="46"/>
      <c r="J30" s="47"/>
      <c r="K30" s="47"/>
      <c r="L30" s="47"/>
      <c r="M30" s="48"/>
      <c r="N30" s="46"/>
      <c r="O30" s="47"/>
      <c r="P30" s="47"/>
      <c r="Q30" s="47"/>
      <c r="R30" s="48"/>
      <c r="S30" s="46"/>
      <c r="T30" s="47"/>
      <c r="U30" s="47"/>
      <c r="V30" s="47"/>
      <c r="W30" s="48"/>
      <c r="X30" s="46"/>
      <c r="Y30" s="47"/>
      <c r="Z30" s="47"/>
      <c r="AA30" s="47"/>
      <c r="AB30" s="48"/>
      <c r="AC30" s="46"/>
      <c r="AD30" s="47"/>
      <c r="AE30" s="48"/>
      <c r="AI30" s="66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8"/>
    </row>
    <row r="31" spans="4:49" x14ac:dyDescent="0.25">
      <c r="E31" s="6"/>
      <c r="F31" s="5"/>
      <c r="H31" s="59">
        <v>10</v>
      </c>
      <c r="I31" s="39">
        <f>100-1.35</f>
        <v>98.65</v>
      </c>
      <c r="J31" s="40"/>
      <c r="K31" s="40"/>
      <c r="L31" s="40"/>
      <c r="M31" s="41"/>
      <c r="N31" s="39">
        <f>100-1.35</f>
        <v>98.65</v>
      </c>
      <c r="O31" s="40"/>
      <c r="P31" s="40"/>
      <c r="Q31" s="40"/>
      <c r="R31" s="41"/>
      <c r="S31" s="39">
        <f>100-1.36</f>
        <v>98.64</v>
      </c>
      <c r="T31" s="40"/>
      <c r="U31" s="40"/>
      <c r="V31" s="40"/>
      <c r="W31" s="41"/>
      <c r="X31" s="39">
        <f>100-1.34</f>
        <v>98.66</v>
      </c>
      <c r="Y31" s="40"/>
      <c r="Z31" s="40"/>
      <c r="AA31" s="40"/>
      <c r="AB31" s="41"/>
      <c r="AC31" s="39">
        <f>100-1.42</f>
        <v>98.58</v>
      </c>
      <c r="AD31" s="40"/>
      <c r="AE31" s="41"/>
      <c r="AI31" s="63" t="s">
        <v>7</v>
      </c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5"/>
    </row>
    <row r="32" spans="4:49" x14ac:dyDescent="0.25">
      <c r="E32" s="6"/>
      <c r="F32" s="5"/>
      <c r="H32" s="59"/>
      <c r="I32" s="42"/>
      <c r="J32" s="32"/>
      <c r="K32" s="32"/>
      <c r="L32" s="32"/>
      <c r="M32" s="43"/>
      <c r="N32" s="42"/>
      <c r="O32" s="32"/>
      <c r="P32" s="32"/>
      <c r="Q32" s="32"/>
      <c r="R32" s="43"/>
      <c r="S32" s="42"/>
      <c r="T32" s="32"/>
      <c r="U32" s="32"/>
      <c r="V32" s="32"/>
      <c r="W32" s="43"/>
      <c r="X32" s="42"/>
      <c r="Y32" s="32"/>
      <c r="Z32" s="32"/>
      <c r="AA32" s="32"/>
      <c r="AB32" s="43"/>
      <c r="AC32" s="42"/>
      <c r="AD32" s="32"/>
      <c r="AE32" s="43"/>
      <c r="AI32" s="66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8"/>
    </row>
    <row r="33" spans="1:50" x14ac:dyDescent="0.25">
      <c r="E33" s="6"/>
      <c r="F33" s="5"/>
      <c r="H33" s="59"/>
      <c r="I33" s="42"/>
      <c r="J33" s="32"/>
      <c r="K33" s="32"/>
      <c r="L33" s="32"/>
      <c r="M33" s="43"/>
      <c r="N33" s="42"/>
      <c r="O33" s="32"/>
      <c r="P33" s="32"/>
      <c r="Q33" s="32"/>
      <c r="R33" s="43"/>
      <c r="S33" s="42"/>
      <c r="T33" s="32"/>
      <c r="U33" s="32"/>
      <c r="V33" s="32"/>
      <c r="W33" s="43"/>
      <c r="X33" s="42"/>
      <c r="Y33" s="32"/>
      <c r="Z33" s="32"/>
      <c r="AA33" s="32"/>
      <c r="AB33" s="43"/>
      <c r="AC33" s="42"/>
      <c r="AD33" s="32"/>
      <c r="AE33" s="43"/>
      <c r="AI33" s="63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5"/>
    </row>
    <row r="34" spans="1:50" x14ac:dyDescent="0.25">
      <c r="E34" s="6"/>
      <c r="F34" s="5"/>
      <c r="H34" s="59"/>
      <c r="I34" s="44">
        <v>14</v>
      </c>
      <c r="J34" s="36"/>
      <c r="K34" s="36"/>
      <c r="L34" s="36"/>
      <c r="M34" s="45"/>
      <c r="N34" s="44">
        <v>13</v>
      </c>
      <c r="O34" s="36"/>
      <c r="P34" s="36"/>
      <c r="Q34" s="36"/>
      <c r="R34" s="45"/>
      <c r="S34" s="44">
        <v>12</v>
      </c>
      <c r="T34" s="36"/>
      <c r="U34" s="36"/>
      <c r="V34" s="36"/>
      <c r="W34" s="45"/>
      <c r="X34" s="44">
        <v>11</v>
      </c>
      <c r="Y34" s="36"/>
      <c r="Z34" s="36"/>
      <c r="AA34" s="36"/>
      <c r="AB34" s="45"/>
      <c r="AC34" s="44">
        <v>10</v>
      </c>
      <c r="AD34" s="36"/>
      <c r="AE34" s="45"/>
      <c r="AI34" s="66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8"/>
    </row>
    <row r="35" spans="1:50" x14ac:dyDescent="0.25">
      <c r="E35" s="9"/>
      <c r="F35" s="7"/>
      <c r="H35" s="59"/>
      <c r="I35" s="46"/>
      <c r="J35" s="47"/>
      <c r="K35" s="47"/>
      <c r="L35" s="47"/>
      <c r="M35" s="48"/>
      <c r="N35" s="46"/>
      <c r="O35" s="47"/>
      <c r="P35" s="47"/>
      <c r="Q35" s="47"/>
      <c r="R35" s="48"/>
      <c r="S35" s="46"/>
      <c r="T35" s="47"/>
      <c r="U35" s="47"/>
      <c r="V35" s="47"/>
      <c r="W35" s="48"/>
      <c r="X35" s="46"/>
      <c r="Y35" s="47"/>
      <c r="Z35" s="47"/>
      <c r="AA35" s="47"/>
      <c r="AB35" s="48"/>
      <c r="AC35" s="46"/>
      <c r="AD35" s="47"/>
      <c r="AE35" s="48"/>
    </row>
    <row r="38" spans="1:50" x14ac:dyDescent="0.25"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2">
        <f>T1</f>
        <v>45</v>
      </c>
      <c r="Y38" s="32"/>
      <c r="Z38" s="32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9"/>
    </row>
    <row r="39" spans="1:50" x14ac:dyDescent="0.25">
      <c r="A39" s="12"/>
      <c r="B39" s="12"/>
      <c r="C39" s="12"/>
      <c r="D39" s="12"/>
      <c r="E39" s="12"/>
      <c r="F39" s="12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32"/>
      <c r="Y39" s="32"/>
      <c r="Z39" s="32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31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25">
      <c r="A40" s="60" t="s">
        <v>9</v>
      </c>
      <c r="B40" s="60"/>
      <c r="C40" s="60"/>
      <c r="D40" s="24"/>
      <c r="E40" s="28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4"/>
      <c r="AQ40" s="28"/>
      <c r="AR40" s="25"/>
      <c r="AS40" s="12"/>
      <c r="AT40" s="12"/>
      <c r="AU40" s="26"/>
      <c r="AV40" s="26"/>
      <c r="AW40" s="26"/>
      <c r="AX40" s="12"/>
    </row>
    <row r="41" spans="1:50" x14ac:dyDescent="0.25">
      <c r="A41" s="61" t="s">
        <v>10</v>
      </c>
      <c r="B41" s="61"/>
      <c r="C41" s="61"/>
      <c r="D41" s="27"/>
      <c r="E41" s="27"/>
      <c r="F41" s="29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3"/>
      <c r="AP41" s="12"/>
      <c r="AQ41" s="12"/>
      <c r="AR41" s="12"/>
      <c r="AS41" s="31"/>
      <c r="AT41" s="18"/>
      <c r="AU41" s="12"/>
      <c r="AV41" s="12"/>
      <c r="AW41" s="12"/>
      <c r="AX41" s="12"/>
    </row>
    <row r="42" spans="1:50" x14ac:dyDescent="0.25">
      <c r="A42" s="62"/>
      <c r="B42" s="62"/>
      <c r="C42" s="62"/>
      <c r="D42" s="23"/>
      <c r="E42" s="23"/>
      <c r="F42" s="30"/>
      <c r="G42" s="14"/>
      <c r="H42" s="1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5"/>
      <c r="AO42" s="16"/>
      <c r="AP42" s="12"/>
      <c r="AQ42" s="12"/>
      <c r="AR42" s="12"/>
      <c r="AS42" s="13"/>
      <c r="AT42" s="11"/>
      <c r="AU42" s="12"/>
      <c r="AV42" s="12"/>
      <c r="AW42" s="12"/>
      <c r="AX42" s="12"/>
    </row>
    <row r="43" spans="1:50" x14ac:dyDescent="0.25">
      <c r="A43" s="36" t="s">
        <v>11</v>
      </c>
      <c r="B43" s="36"/>
      <c r="C43" s="36"/>
      <c r="D43" s="12"/>
      <c r="E43" s="12"/>
      <c r="F43" s="12"/>
      <c r="G43" s="12"/>
      <c r="H43" s="13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3"/>
      <c r="AN43" s="12"/>
      <c r="AO43" s="12"/>
      <c r="AP43" s="12"/>
      <c r="AQ43" s="12"/>
      <c r="AR43" s="32">
        <v>2.5</v>
      </c>
      <c r="AS43" s="32"/>
      <c r="AT43" s="32"/>
      <c r="AU43" s="32"/>
      <c r="AV43" s="12"/>
      <c r="AW43" s="12"/>
      <c r="AX43" s="12"/>
    </row>
    <row r="44" spans="1:50" x14ac:dyDescent="0.25">
      <c r="A44" s="62"/>
      <c r="B44" s="62"/>
      <c r="C44" s="62"/>
      <c r="D44" s="23"/>
      <c r="E44" s="23"/>
      <c r="F44" s="23"/>
      <c r="G44" s="23"/>
      <c r="H44" s="30"/>
      <c r="I44" s="14"/>
      <c r="J44" s="1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5"/>
      <c r="AM44" s="16"/>
      <c r="AN44" s="12"/>
      <c r="AO44" s="12"/>
      <c r="AP44" s="12"/>
      <c r="AQ44" s="12"/>
      <c r="AR44" s="32"/>
      <c r="AS44" s="32"/>
      <c r="AT44" s="32"/>
      <c r="AU44" s="32"/>
      <c r="AV44" s="12"/>
      <c r="AW44" s="12"/>
      <c r="AX44" s="12"/>
    </row>
    <row r="45" spans="1:50" x14ac:dyDescent="0.25">
      <c r="A45" s="62" t="s">
        <v>21</v>
      </c>
      <c r="B45" s="62"/>
      <c r="C45" s="62"/>
      <c r="D45" s="23"/>
      <c r="E45" s="23"/>
      <c r="F45" s="23"/>
      <c r="G45" s="23"/>
      <c r="H45" s="23"/>
      <c r="I45" s="23"/>
      <c r="J45" s="30"/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/>
      <c r="AL45" s="12"/>
      <c r="AM45" s="12"/>
      <c r="AN45" s="12"/>
      <c r="AO45" s="12"/>
      <c r="AP45" s="12"/>
      <c r="AQ45" s="12"/>
      <c r="AR45" s="12"/>
      <c r="AS45" s="16"/>
      <c r="AT45" s="14"/>
      <c r="AU45" s="12"/>
      <c r="AV45" s="12"/>
      <c r="AW45" s="12"/>
      <c r="AX45" s="12"/>
    </row>
    <row r="46" spans="1:5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32">
        <f>X38-4</f>
        <v>41</v>
      </c>
      <c r="Y47" s="32"/>
      <c r="Z47" s="32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8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32"/>
      <c r="Y48" s="32"/>
      <c r="Z48" s="32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31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58" t="s">
        <v>13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</row>
    <row r="51" spans="1:50" x14ac:dyDescent="0.2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</row>
    <row r="52" spans="1:50" x14ac:dyDescent="0.2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</row>
    <row r="53" spans="1:50" x14ac:dyDescent="0.25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50" x14ac:dyDescent="0.25"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</sheetData>
  <mergeCells count="112">
    <mergeCell ref="AS4:AW5"/>
    <mergeCell ref="H5:H10"/>
    <mergeCell ref="I5:M7"/>
    <mergeCell ref="N5:R7"/>
    <mergeCell ref="AC5:AE7"/>
    <mergeCell ref="AI6:AM7"/>
    <mergeCell ref="AN6:AR7"/>
    <mergeCell ref="AS6:AW7"/>
    <mergeCell ref="I8:M10"/>
    <mergeCell ref="N8:R10"/>
    <mergeCell ref="I4:M4"/>
    <mergeCell ref="N4:R4"/>
    <mergeCell ref="AC4:AE4"/>
    <mergeCell ref="AI4:AM5"/>
    <mergeCell ref="AN4:AR5"/>
    <mergeCell ref="S4:W4"/>
    <mergeCell ref="X4:AB4"/>
    <mergeCell ref="S5:W7"/>
    <mergeCell ref="X5:AB7"/>
    <mergeCell ref="AN10:AR11"/>
    <mergeCell ref="AS10:AW11"/>
    <mergeCell ref="N14:R15"/>
    <mergeCell ref="AC14:AE15"/>
    <mergeCell ref="H16:H20"/>
    <mergeCell ref="I16:M18"/>
    <mergeCell ref="N16:R18"/>
    <mergeCell ref="AC16:AE18"/>
    <mergeCell ref="S19:W20"/>
    <mergeCell ref="X19:AB20"/>
    <mergeCell ref="AC8:AE10"/>
    <mergeCell ref="H11:H15"/>
    <mergeCell ref="I11:M13"/>
    <mergeCell ref="N11:R13"/>
    <mergeCell ref="AC11:AE13"/>
    <mergeCell ref="I14:M15"/>
    <mergeCell ref="S8:W10"/>
    <mergeCell ref="X8:AB10"/>
    <mergeCell ref="S11:W13"/>
    <mergeCell ref="X11:AB13"/>
    <mergeCell ref="S14:W15"/>
    <mergeCell ref="X14:AB15"/>
    <mergeCell ref="I29:M30"/>
    <mergeCell ref="N29:R30"/>
    <mergeCell ref="AC29:AE30"/>
    <mergeCell ref="AI29:AW30"/>
    <mergeCell ref="D18:G19"/>
    <mergeCell ref="I19:M20"/>
    <mergeCell ref="N19:R20"/>
    <mergeCell ref="AC19:AE20"/>
    <mergeCell ref="H26:H30"/>
    <mergeCell ref="I26:M28"/>
    <mergeCell ref="N26:R28"/>
    <mergeCell ref="AC26:AE28"/>
    <mergeCell ref="S16:W18"/>
    <mergeCell ref="X16:AB18"/>
    <mergeCell ref="X21:AB23"/>
    <mergeCell ref="S24:W25"/>
    <mergeCell ref="X24:AB25"/>
    <mergeCell ref="S26:W28"/>
    <mergeCell ref="X26:AB28"/>
    <mergeCell ref="S29:W30"/>
    <mergeCell ref="X29:AB30"/>
    <mergeCell ref="AI26:AW26"/>
    <mergeCell ref="AI27:AW28"/>
    <mergeCell ref="A50:AW52"/>
    <mergeCell ref="H21:H25"/>
    <mergeCell ref="I21:M23"/>
    <mergeCell ref="N21:R23"/>
    <mergeCell ref="AC21:AE23"/>
    <mergeCell ref="I24:M25"/>
    <mergeCell ref="N24:R25"/>
    <mergeCell ref="AC24:AE25"/>
    <mergeCell ref="S21:W23"/>
    <mergeCell ref="A40:C40"/>
    <mergeCell ref="A41:C42"/>
    <mergeCell ref="A43:C44"/>
    <mergeCell ref="AR43:AU44"/>
    <mergeCell ref="A45:C45"/>
    <mergeCell ref="H31:H35"/>
    <mergeCell ref="I31:M33"/>
    <mergeCell ref="N31:R33"/>
    <mergeCell ref="AC31:AE33"/>
    <mergeCell ref="AI31:AW32"/>
    <mergeCell ref="AI33:AW34"/>
    <mergeCell ref="I34:M35"/>
    <mergeCell ref="N34:R35"/>
    <mergeCell ref="AC34:AE35"/>
    <mergeCell ref="S31:W33"/>
    <mergeCell ref="X47:Z48"/>
    <mergeCell ref="AI20:AW20"/>
    <mergeCell ref="T1:V2"/>
    <mergeCell ref="X38:Z39"/>
    <mergeCell ref="AI16:AM17"/>
    <mergeCell ref="AN16:AR17"/>
    <mergeCell ref="AS16:AW17"/>
    <mergeCell ref="AI18:AM19"/>
    <mergeCell ref="AN18:AR19"/>
    <mergeCell ref="AS18:AW19"/>
    <mergeCell ref="AI12:AM13"/>
    <mergeCell ref="AN12:AR13"/>
    <mergeCell ref="AS12:AW13"/>
    <mergeCell ref="AI14:AM15"/>
    <mergeCell ref="AN14:AR15"/>
    <mergeCell ref="AS14:AW15"/>
    <mergeCell ref="X31:AB33"/>
    <mergeCell ref="S34:W35"/>
    <mergeCell ref="X34:AB35"/>
    <mergeCell ref="AI21:AW25"/>
    <mergeCell ref="AI8:AM9"/>
    <mergeCell ref="AN8:AR9"/>
    <mergeCell ref="AS8:AW9"/>
    <mergeCell ref="AI10:AM11"/>
  </mergeCells>
  <phoneticPr fontId="1" type="noConversion"/>
  <pageMargins left="0.25" right="0.25" top="0.75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8F12-1118-4BA5-AEC7-A69248248629}">
  <sheetPr>
    <pageSetUpPr fitToPage="1"/>
  </sheetPr>
  <dimension ref="A1:BY43"/>
  <sheetViews>
    <sheetView workbookViewId="0">
      <selection activeCell="BY29" sqref="BY29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4:77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32">
        <f>SUM(I4:BF4)</f>
        <v>100</v>
      </c>
      <c r="AG1" s="32"/>
      <c r="AH1" s="32"/>
      <c r="AI1" s="32"/>
      <c r="AJ1" s="12"/>
      <c r="AK1" s="12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9"/>
      <c r="BJ1" s="69" t="s">
        <v>0</v>
      </c>
      <c r="BK1" s="69"/>
      <c r="BL1" s="69"/>
      <c r="BM1" s="69"/>
      <c r="BN1" s="69"/>
      <c r="BO1" s="69" t="s">
        <v>1</v>
      </c>
      <c r="BP1" s="69"/>
      <c r="BQ1" s="69"/>
      <c r="BR1" s="69"/>
      <c r="BS1" s="69"/>
      <c r="BT1" s="69" t="s">
        <v>2</v>
      </c>
      <c r="BU1" s="69"/>
      <c r="BV1" s="69"/>
      <c r="BW1" s="69"/>
      <c r="BX1" s="69"/>
    </row>
    <row r="2" spans="4:77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2"/>
      <c r="AG2" s="32"/>
      <c r="AH2" s="32"/>
      <c r="AI2" s="32"/>
      <c r="AJ2" s="12"/>
      <c r="AK2" s="1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H2" s="12"/>
      <c r="BI2" s="12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12"/>
    </row>
    <row r="3" spans="4:77" x14ac:dyDescent="0.25">
      <c r="BH3" s="12"/>
      <c r="BI3" s="12"/>
      <c r="BJ3" s="37" t="s">
        <v>19</v>
      </c>
      <c r="BK3" s="37"/>
      <c r="BL3" s="37"/>
      <c r="BM3" s="37"/>
      <c r="BN3" s="37"/>
      <c r="BO3" s="38">
        <f>SUM(I5+N5+S5+X5+AC5+AH5+AM5+AR5+AW5+BB5+BB10+BB15+AW15+AR15+AM15+AH15+AC15+X15+S15+N15+I15+I10)/22</f>
        <v>98.699545454545472</v>
      </c>
      <c r="BP3" s="38"/>
      <c r="BQ3" s="38"/>
      <c r="BR3" s="38"/>
      <c r="BS3" s="38"/>
      <c r="BT3" s="38">
        <f>100-BO3</f>
        <v>1.300454545454528</v>
      </c>
      <c r="BU3" s="38"/>
      <c r="BV3" s="38"/>
      <c r="BW3" s="38"/>
      <c r="BX3" s="38"/>
      <c r="BY3" s="12"/>
    </row>
    <row r="4" spans="4:77" x14ac:dyDescent="0.25">
      <c r="I4" s="70">
        <v>10</v>
      </c>
      <c r="J4" s="70"/>
      <c r="K4" s="70"/>
      <c r="L4" s="70"/>
      <c r="M4" s="70"/>
      <c r="N4" s="70">
        <v>10</v>
      </c>
      <c r="O4" s="70"/>
      <c r="P4" s="70"/>
      <c r="Q4" s="70"/>
      <c r="R4" s="70"/>
      <c r="S4" s="70">
        <v>10</v>
      </c>
      <c r="T4" s="70"/>
      <c r="U4" s="70"/>
      <c r="V4" s="70"/>
      <c r="W4" s="70"/>
      <c r="X4" s="70">
        <v>10</v>
      </c>
      <c r="Y4" s="70"/>
      <c r="Z4" s="70"/>
      <c r="AA4" s="70"/>
      <c r="AB4" s="70"/>
      <c r="AC4" s="70">
        <v>10</v>
      </c>
      <c r="AD4" s="70"/>
      <c r="AE4" s="70"/>
      <c r="AF4" s="70"/>
      <c r="AG4" s="70"/>
      <c r="AH4" s="70">
        <v>10</v>
      </c>
      <c r="AI4" s="70"/>
      <c r="AJ4" s="70"/>
      <c r="AK4" s="70"/>
      <c r="AL4" s="70"/>
      <c r="AM4" s="70">
        <v>10</v>
      </c>
      <c r="AN4" s="70"/>
      <c r="AO4" s="70"/>
      <c r="AP4" s="70"/>
      <c r="AQ4" s="70"/>
      <c r="AR4" s="70">
        <v>10</v>
      </c>
      <c r="AS4" s="70"/>
      <c r="AT4" s="70"/>
      <c r="AU4" s="70"/>
      <c r="AV4" s="70"/>
      <c r="AW4" s="70">
        <v>10</v>
      </c>
      <c r="AX4" s="70"/>
      <c r="AY4" s="70"/>
      <c r="AZ4" s="70"/>
      <c r="BA4" s="70"/>
      <c r="BB4" s="70">
        <v>10</v>
      </c>
      <c r="BC4" s="70"/>
      <c r="BD4" s="70"/>
      <c r="BE4" s="70"/>
      <c r="BF4" s="70"/>
      <c r="BH4" s="12"/>
      <c r="BI4" s="12"/>
      <c r="BJ4" s="37"/>
      <c r="BK4" s="37"/>
      <c r="BL4" s="37"/>
      <c r="BM4" s="37"/>
      <c r="BN4" s="37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12"/>
    </row>
    <row r="5" spans="4:77" x14ac:dyDescent="0.25">
      <c r="E5" s="4"/>
      <c r="F5" s="2"/>
      <c r="H5" s="59">
        <v>10</v>
      </c>
      <c r="I5" s="39">
        <f>100-1.3</f>
        <v>98.7</v>
      </c>
      <c r="J5" s="40"/>
      <c r="K5" s="40"/>
      <c r="L5" s="40"/>
      <c r="M5" s="41"/>
      <c r="N5" s="39">
        <f>100-1.3</f>
        <v>98.7</v>
      </c>
      <c r="O5" s="40"/>
      <c r="P5" s="40"/>
      <c r="Q5" s="40"/>
      <c r="R5" s="41"/>
      <c r="S5" s="39">
        <f>100-1.28</f>
        <v>98.72</v>
      </c>
      <c r="T5" s="40"/>
      <c r="U5" s="40"/>
      <c r="V5" s="40"/>
      <c r="W5" s="41"/>
      <c r="X5" s="39">
        <f>100-1.26</f>
        <v>98.74</v>
      </c>
      <c r="Y5" s="40"/>
      <c r="Z5" s="40"/>
      <c r="AA5" s="40"/>
      <c r="AB5" s="41"/>
      <c r="AC5" s="39">
        <f>100-1.26</f>
        <v>98.74</v>
      </c>
      <c r="AD5" s="40"/>
      <c r="AE5" s="40"/>
      <c r="AF5" s="40"/>
      <c r="AG5" s="41"/>
      <c r="AH5" s="39">
        <f>100-1.35</f>
        <v>98.65</v>
      </c>
      <c r="AI5" s="40"/>
      <c r="AJ5" s="40"/>
      <c r="AK5" s="40"/>
      <c r="AL5" s="41"/>
      <c r="AM5" s="39">
        <f>100-1.32</f>
        <v>98.68</v>
      </c>
      <c r="AN5" s="40"/>
      <c r="AO5" s="40"/>
      <c r="AP5" s="40"/>
      <c r="AQ5" s="41"/>
      <c r="AR5" s="39">
        <f>100-1.32</f>
        <v>98.68</v>
      </c>
      <c r="AS5" s="40"/>
      <c r="AT5" s="40"/>
      <c r="AU5" s="40"/>
      <c r="AV5" s="41"/>
      <c r="AW5" s="39">
        <f>100-1.29</f>
        <v>98.71</v>
      </c>
      <c r="AX5" s="40"/>
      <c r="AY5" s="40"/>
      <c r="AZ5" s="40"/>
      <c r="BA5" s="41"/>
      <c r="BB5" s="39">
        <f>100-1.34</f>
        <v>98.66</v>
      </c>
      <c r="BC5" s="40"/>
      <c r="BD5" s="40"/>
      <c r="BE5" s="40"/>
      <c r="BF5" s="41"/>
      <c r="BH5" s="12"/>
      <c r="BI5" s="12"/>
      <c r="BJ5" s="37" t="s">
        <v>20</v>
      </c>
      <c r="BK5" s="37"/>
      <c r="BL5" s="37"/>
      <c r="BM5" s="37"/>
      <c r="BN5" s="37"/>
      <c r="BO5" s="38">
        <f>SUM(N10+S10+X10+AC10+AH10+AM10+AR10+AW10)/8</f>
        <v>98.595250000000007</v>
      </c>
      <c r="BP5" s="38"/>
      <c r="BQ5" s="38"/>
      <c r="BR5" s="38"/>
      <c r="BS5" s="38"/>
      <c r="BT5" s="38">
        <f>100-BO5</f>
        <v>1.4047499999999928</v>
      </c>
      <c r="BU5" s="76"/>
      <c r="BV5" s="76"/>
      <c r="BW5" s="76"/>
      <c r="BX5" s="76"/>
      <c r="BY5" s="12"/>
    </row>
    <row r="6" spans="4:77" x14ac:dyDescent="0.25">
      <c r="E6" s="6"/>
      <c r="F6" s="5"/>
      <c r="H6" s="59"/>
      <c r="I6" s="42"/>
      <c r="J6" s="32"/>
      <c r="K6" s="32"/>
      <c r="L6" s="32"/>
      <c r="M6" s="43"/>
      <c r="N6" s="42"/>
      <c r="O6" s="32"/>
      <c r="P6" s="32"/>
      <c r="Q6" s="32"/>
      <c r="R6" s="43"/>
      <c r="S6" s="42"/>
      <c r="T6" s="32"/>
      <c r="U6" s="32"/>
      <c r="V6" s="32"/>
      <c r="W6" s="43"/>
      <c r="X6" s="42"/>
      <c r="Y6" s="32"/>
      <c r="Z6" s="32"/>
      <c r="AA6" s="32"/>
      <c r="AB6" s="43"/>
      <c r="AC6" s="42"/>
      <c r="AD6" s="32"/>
      <c r="AE6" s="32"/>
      <c r="AF6" s="32"/>
      <c r="AG6" s="43"/>
      <c r="AH6" s="42"/>
      <c r="AI6" s="32"/>
      <c r="AJ6" s="32"/>
      <c r="AK6" s="32"/>
      <c r="AL6" s="43"/>
      <c r="AM6" s="42"/>
      <c r="AN6" s="32"/>
      <c r="AO6" s="32"/>
      <c r="AP6" s="32"/>
      <c r="AQ6" s="43"/>
      <c r="AR6" s="42"/>
      <c r="AS6" s="32"/>
      <c r="AT6" s="32"/>
      <c r="AU6" s="32"/>
      <c r="AV6" s="43"/>
      <c r="AW6" s="42"/>
      <c r="AX6" s="32"/>
      <c r="AY6" s="32"/>
      <c r="AZ6" s="32"/>
      <c r="BA6" s="43"/>
      <c r="BB6" s="42"/>
      <c r="BC6" s="32"/>
      <c r="BD6" s="32"/>
      <c r="BE6" s="32"/>
      <c r="BF6" s="43"/>
      <c r="BH6" s="12"/>
      <c r="BI6" s="12"/>
      <c r="BJ6" s="37"/>
      <c r="BK6" s="37"/>
      <c r="BL6" s="37"/>
      <c r="BM6" s="37"/>
      <c r="BN6" s="37"/>
      <c r="BO6" s="38"/>
      <c r="BP6" s="38"/>
      <c r="BQ6" s="38"/>
      <c r="BR6" s="38"/>
      <c r="BS6" s="38"/>
      <c r="BT6" s="76"/>
      <c r="BU6" s="76"/>
      <c r="BV6" s="76"/>
      <c r="BW6" s="76"/>
      <c r="BX6" s="76"/>
      <c r="BY6" s="12"/>
    </row>
    <row r="7" spans="4:77" x14ac:dyDescent="0.25">
      <c r="E7" s="6"/>
      <c r="F7" s="5"/>
      <c r="H7" s="59"/>
      <c r="I7" s="42"/>
      <c r="J7" s="32"/>
      <c r="K7" s="32"/>
      <c r="L7" s="32"/>
      <c r="M7" s="43"/>
      <c r="N7" s="42"/>
      <c r="O7" s="32"/>
      <c r="P7" s="32"/>
      <c r="Q7" s="32"/>
      <c r="R7" s="43"/>
      <c r="S7" s="42"/>
      <c r="T7" s="32"/>
      <c r="U7" s="32"/>
      <c r="V7" s="32"/>
      <c r="W7" s="43"/>
      <c r="X7" s="42"/>
      <c r="Y7" s="32"/>
      <c r="Z7" s="32"/>
      <c r="AA7" s="32"/>
      <c r="AB7" s="43"/>
      <c r="AC7" s="42"/>
      <c r="AD7" s="32"/>
      <c r="AE7" s="32"/>
      <c r="AF7" s="32"/>
      <c r="AG7" s="43"/>
      <c r="AH7" s="42"/>
      <c r="AI7" s="32"/>
      <c r="AJ7" s="32"/>
      <c r="AK7" s="32"/>
      <c r="AL7" s="43"/>
      <c r="AM7" s="42"/>
      <c r="AN7" s="32"/>
      <c r="AO7" s="32"/>
      <c r="AP7" s="32"/>
      <c r="AQ7" s="43"/>
      <c r="AR7" s="42"/>
      <c r="AS7" s="32"/>
      <c r="AT7" s="32"/>
      <c r="AU7" s="32"/>
      <c r="AV7" s="43"/>
      <c r="AW7" s="42"/>
      <c r="AX7" s="32"/>
      <c r="AY7" s="32"/>
      <c r="AZ7" s="32"/>
      <c r="BA7" s="43"/>
      <c r="BB7" s="42"/>
      <c r="BC7" s="32"/>
      <c r="BD7" s="32"/>
      <c r="BE7" s="32"/>
      <c r="BF7" s="43"/>
      <c r="BH7" s="12"/>
      <c r="BI7" s="12"/>
      <c r="BJ7" s="52" t="s">
        <v>23</v>
      </c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4"/>
      <c r="BY7" s="12"/>
    </row>
    <row r="8" spans="4:77" x14ac:dyDescent="0.25">
      <c r="E8" s="6"/>
      <c r="F8" s="5"/>
      <c r="H8" s="59"/>
      <c r="I8" s="44">
        <v>1</v>
      </c>
      <c r="J8" s="36"/>
      <c r="K8" s="36"/>
      <c r="L8" s="36"/>
      <c r="M8" s="45"/>
      <c r="N8" s="44">
        <v>2</v>
      </c>
      <c r="O8" s="36"/>
      <c r="P8" s="36"/>
      <c r="Q8" s="36"/>
      <c r="R8" s="45"/>
      <c r="S8" s="44">
        <v>3</v>
      </c>
      <c r="T8" s="36"/>
      <c r="U8" s="36"/>
      <c r="V8" s="36"/>
      <c r="W8" s="45"/>
      <c r="X8" s="44">
        <v>4</v>
      </c>
      <c r="Y8" s="36"/>
      <c r="Z8" s="36"/>
      <c r="AA8" s="36"/>
      <c r="AB8" s="45"/>
      <c r="AC8" s="44">
        <v>5</v>
      </c>
      <c r="AD8" s="36"/>
      <c r="AE8" s="36"/>
      <c r="AF8" s="36"/>
      <c r="AG8" s="45"/>
      <c r="AH8" s="44">
        <v>6</v>
      </c>
      <c r="AI8" s="36"/>
      <c r="AJ8" s="36"/>
      <c r="AK8" s="36"/>
      <c r="AL8" s="45"/>
      <c r="AM8" s="44">
        <v>7</v>
      </c>
      <c r="AN8" s="36"/>
      <c r="AO8" s="36"/>
      <c r="AP8" s="36"/>
      <c r="AQ8" s="45"/>
      <c r="AR8" s="44">
        <v>8</v>
      </c>
      <c r="AS8" s="36"/>
      <c r="AT8" s="36"/>
      <c r="AU8" s="36"/>
      <c r="AV8" s="45"/>
      <c r="AW8" s="44">
        <v>9</v>
      </c>
      <c r="AX8" s="36"/>
      <c r="AY8" s="36"/>
      <c r="AZ8" s="36"/>
      <c r="BA8" s="45"/>
      <c r="BB8" s="44">
        <v>10</v>
      </c>
      <c r="BC8" s="36"/>
      <c r="BD8" s="36"/>
      <c r="BE8" s="36"/>
      <c r="BF8" s="45"/>
      <c r="BH8" s="12"/>
      <c r="BI8" s="12"/>
      <c r="BJ8" s="52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4"/>
      <c r="BY8" s="12"/>
    </row>
    <row r="9" spans="4:77" x14ac:dyDescent="0.25">
      <c r="E9" s="6"/>
      <c r="F9" s="5"/>
      <c r="H9" s="59"/>
      <c r="I9" s="46"/>
      <c r="J9" s="47"/>
      <c r="K9" s="47"/>
      <c r="L9" s="47"/>
      <c r="M9" s="48"/>
      <c r="N9" s="46"/>
      <c r="O9" s="47"/>
      <c r="P9" s="47"/>
      <c r="Q9" s="47"/>
      <c r="R9" s="48"/>
      <c r="S9" s="46"/>
      <c r="T9" s="47"/>
      <c r="U9" s="47"/>
      <c r="V9" s="47"/>
      <c r="W9" s="48"/>
      <c r="X9" s="46"/>
      <c r="Y9" s="47"/>
      <c r="Z9" s="47"/>
      <c r="AA9" s="47"/>
      <c r="AB9" s="48"/>
      <c r="AC9" s="46"/>
      <c r="AD9" s="47"/>
      <c r="AE9" s="47"/>
      <c r="AF9" s="47"/>
      <c r="AG9" s="48"/>
      <c r="AH9" s="46"/>
      <c r="AI9" s="47"/>
      <c r="AJ9" s="47"/>
      <c r="AK9" s="47"/>
      <c r="AL9" s="48"/>
      <c r="AM9" s="46"/>
      <c r="AN9" s="47"/>
      <c r="AO9" s="47"/>
      <c r="AP9" s="47"/>
      <c r="AQ9" s="48"/>
      <c r="AR9" s="46"/>
      <c r="AS9" s="47"/>
      <c r="AT9" s="47"/>
      <c r="AU9" s="47"/>
      <c r="AV9" s="48"/>
      <c r="AW9" s="46"/>
      <c r="AX9" s="47"/>
      <c r="AY9" s="47"/>
      <c r="AZ9" s="47"/>
      <c r="BA9" s="48"/>
      <c r="BB9" s="46"/>
      <c r="BC9" s="47"/>
      <c r="BD9" s="47"/>
      <c r="BE9" s="47"/>
      <c r="BF9" s="48"/>
      <c r="BH9" s="12"/>
      <c r="BI9" s="12"/>
      <c r="BJ9" s="52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4"/>
      <c r="BY9" s="12"/>
    </row>
    <row r="10" spans="4:77" x14ac:dyDescent="0.25">
      <c r="E10" s="6"/>
      <c r="F10" s="5"/>
      <c r="H10" s="59">
        <v>10</v>
      </c>
      <c r="I10" s="39">
        <f>100-1.38</f>
        <v>98.62</v>
      </c>
      <c r="J10" s="40"/>
      <c r="K10" s="40"/>
      <c r="L10" s="40"/>
      <c r="M10" s="41"/>
      <c r="N10" s="39">
        <f>SUM(N5+I5+I10+I15+N15)/5-0.1</f>
        <v>98.615999999999985</v>
      </c>
      <c r="O10" s="40"/>
      <c r="P10" s="40"/>
      <c r="Q10" s="40"/>
      <c r="R10" s="41"/>
      <c r="S10" s="39">
        <f>SUM(S5+S15)/2-0.1</f>
        <v>98.63</v>
      </c>
      <c r="T10" s="40"/>
      <c r="U10" s="40"/>
      <c r="V10" s="40"/>
      <c r="W10" s="41"/>
      <c r="X10" s="39">
        <f t="shared" ref="X10" si="0">SUM(X5+X15)/2-0.1</f>
        <v>98.594999999999999</v>
      </c>
      <c r="Y10" s="40"/>
      <c r="Z10" s="40"/>
      <c r="AA10" s="40"/>
      <c r="AB10" s="41"/>
      <c r="AC10" s="39">
        <f t="shared" ref="AC10" si="1">SUM(AC5+AC15)/2-0.1</f>
        <v>98.580000000000013</v>
      </c>
      <c r="AD10" s="40"/>
      <c r="AE10" s="40"/>
      <c r="AF10" s="40"/>
      <c r="AG10" s="41"/>
      <c r="AH10" s="39">
        <f t="shared" ref="AH10" si="2">SUM(AH5+AH15)/2-0.1</f>
        <v>98.56</v>
      </c>
      <c r="AI10" s="40"/>
      <c r="AJ10" s="40"/>
      <c r="AK10" s="40"/>
      <c r="AL10" s="41"/>
      <c r="AM10" s="39">
        <f t="shared" ref="AM10" si="3">SUM(AM5+AM15)/2-0.1</f>
        <v>98.580000000000013</v>
      </c>
      <c r="AN10" s="40"/>
      <c r="AO10" s="40"/>
      <c r="AP10" s="40"/>
      <c r="AQ10" s="41"/>
      <c r="AR10" s="39">
        <f t="shared" ref="AR10" si="4">SUM(AR5+AR15)/2-0.1</f>
        <v>98.594999999999999</v>
      </c>
      <c r="AS10" s="40"/>
      <c r="AT10" s="40"/>
      <c r="AU10" s="40"/>
      <c r="AV10" s="41"/>
      <c r="AW10" s="39">
        <f>SUM(AW5+BB5+BB10+BB15+AW15)/5-0.1</f>
        <v>98.605999999999995</v>
      </c>
      <c r="AX10" s="40"/>
      <c r="AY10" s="40"/>
      <c r="AZ10" s="40"/>
      <c r="BA10" s="41"/>
      <c r="BB10" s="39">
        <f>100-1.3</f>
        <v>98.7</v>
      </c>
      <c r="BC10" s="40"/>
      <c r="BD10" s="40"/>
      <c r="BE10" s="40"/>
      <c r="BF10" s="41"/>
      <c r="BH10" s="12"/>
      <c r="BI10" s="12"/>
      <c r="BJ10" s="52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4"/>
      <c r="BY10" s="12"/>
    </row>
    <row r="11" spans="4:77" x14ac:dyDescent="0.25">
      <c r="E11" s="6"/>
      <c r="F11" s="5"/>
      <c r="H11" s="59"/>
      <c r="I11" s="42"/>
      <c r="J11" s="32"/>
      <c r="K11" s="32"/>
      <c r="L11" s="32"/>
      <c r="M11" s="43"/>
      <c r="N11" s="42"/>
      <c r="O11" s="32"/>
      <c r="P11" s="32"/>
      <c r="Q11" s="32"/>
      <c r="R11" s="43"/>
      <c r="S11" s="42"/>
      <c r="T11" s="32"/>
      <c r="U11" s="32"/>
      <c r="V11" s="32"/>
      <c r="W11" s="43"/>
      <c r="X11" s="42"/>
      <c r="Y11" s="32"/>
      <c r="Z11" s="32"/>
      <c r="AA11" s="32"/>
      <c r="AB11" s="43"/>
      <c r="AC11" s="42"/>
      <c r="AD11" s="32"/>
      <c r="AE11" s="32"/>
      <c r="AF11" s="32"/>
      <c r="AG11" s="43"/>
      <c r="AH11" s="42"/>
      <c r="AI11" s="32"/>
      <c r="AJ11" s="32"/>
      <c r="AK11" s="32"/>
      <c r="AL11" s="43"/>
      <c r="AM11" s="42"/>
      <c r="AN11" s="32"/>
      <c r="AO11" s="32"/>
      <c r="AP11" s="32"/>
      <c r="AQ11" s="43"/>
      <c r="AR11" s="42"/>
      <c r="AS11" s="32"/>
      <c r="AT11" s="32"/>
      <c r="AU11" s="32"/>
      <c r="AV11" s="43"/>
      <c r="AW11" s="42"/>
      <c r="AX11" s="32"/>
      <c r="AY11" s="32"/>
      <c r="AZ11" s="32"/>
      <c r="BA11" s="43"/>
      <c r="BB11" s="42"/>
      <c r="BC11" s="32"/>
      <c r="BD11" s="32"/>
      <c r="BE11" s="32"/>
      <c r="BF11" s="43"/>
      <c r="BH11" s="12"/>
      <c r="BI11" s="12"/>
      <c r="BJ11" s="55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7"/>
      <c r="BY11" s="12"/>
    </row>
    <row r="12" spans="4:77" x14ac:dyDescent="0.25">
      <c r="D12" s="32">
        <f>SUM(H3:H17)</f>
        <v>30</v>
      </c>
      <c r="E12" s="36"/>
      <c r="F12" s="36"/>
      <c r="G12" s="36"/>
      <c r="H12" s="59"/>
      <c r="I12" s="42"/>
      <c r="J12" s="32"/>
      <c r="K12" s="32"/>
      <c r="L12" s="32"/>
      <c r="M12" s="43"/>
      <c r="N12" s="42"/>
      <c r="O12" s="32"/>
      <c r="P12" s="32"/>
      <c r="Q12" s="32"/>
      <c r="R12" s="43"/>
      <c r="S12" s="42"/>
      <c r="T12" s="32"/>
      <c r="U12" s="32"/>
      <c r="V12" s="32"/>
      <c r="W12" s="43"/>
      <c r="X12" s="42"/>
      <c r="Y12" s="32"/>
      <c r="Z12" s="32"/>
      <c r="AA12" s="32"/>
      <c r="AB12" s="43"/>
      <c r="AC12" s="42"/>
      <c r="AD12" s="32"/>
      <c r="AE12" s="32"/>
      <c r="AF12" s="32"/>
      <c r="AG12" s="43"/>
      <c r="AH12" s="42"/>
      <c r="AI12" s="32"/>
      <c r="AJ12" s="32"/>
      <c r="AK12" s="32"/>
      <c r="AL12" s="43"/>
      <c r="AM12" s="42"/>
      <c r="AN12" s="32"/>
      <c r="AO12" s="32"/>
      <c r="AP12" s="32"/>
      <c r="AQ12" s="43"/>
      <c r="AR12" s="42"/>
      <c r="AS12" s="32"/>
      <c r="AT12" s="32"/>
      <c r="AU12" s="32"/>
      <c r="AV12" s="43"/>
      <c r="AW12" s="42"/>
      <c r="AX12" s="32"/>
      <c r="AY12" s="32"/>
      <c r="AZ12" s="32"/>
      <c r="BA12" s="43"/>
      <c r="BB12" s="42"/>
      <c r="BC12" s="32"/>
      <c r="BD12" s="32"/>
      <c r="BE12" s="32"/>
      <c r="BF12" s="43"/>
      <c r="BH12" s="12"/>
      <c r="BI12" s="12"/>
      <c r="BJ12" s="63" t="s">
        <v>22</v>
      </c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5"/>
      <c r="BY12" s="12"/>
    </row>
    <row r="13" spans="4:77" x14ac:dyDescent="0.25">
      <c r="E13" s="6"/>
      <c r="F13" s="5"/>
      <c r="H13" s="59"/>
      <c r="I13" s="44">
        <v>22</v>
      </c>
      <c r="J13" s="36"/>
      <c r="K13" s="36"/>
      <c r="L13" s="36"/>
      <c r="M13" s="45"/>
      <c r="N13" s="44">
        <v>23</v>
      </c>
      <c r="O13" s="36"/>
      <c r="P13" s="36"/>
      <c r="Q13" s="36"/>
      <c r="R13" s="45"/>
      <c r="S13" s="44">
        <v>24</v>
      </c>
      <c r="T13" s="36"/>
      <c r="U13" s="36"/>
      <c r="V13" s="36"/>
      <c r="W13" s="45"/>
      <c r="X13" s="44">
        <v>25</v>
      </c>
      <c r="Y13" s="36"/>
      <c r="Z13" s="36"/>
      <c r="AA13" s="36"/>
      <c r="AB13" s="45"/>
      <c r="AC13" s="44">
        <v>26</v>
      </c>
      <c r="AD13" s="36"/>
      <c r="AE13" s="36"/>
      <c r="AF13" s="36"/>
      <c r="AG13" s="45"/>
      <c r="AH13" s="44">
        <v>27</v>
      </c>
      <c r="AI13" s="36"/>
      <c r="AJ13" s="36"/>
      <c r="AK13" s="36"/>
      <c r="AL13" s="45"/>
      <c r="AM13" s="44">
        <v>28</v>
      </c>
      <c r="AN13" s="36"/>
      <c r="AO13" s="36"/>
      <c r="AP13" s="36"/>
      <c r="AQ13" s="45"/>
      <c r="AR13" s="44">
        <v>29</v>
      </c>
      <c r="AS13" s="36"/>
      <c r="AT13" s="36"/>
      <c r="AU13" s="36"/>
      <c r="AV13" s="45"/>
      <c r="AW13" s="44">
        <v>30</v>
      </c>
      <c r="AX13" s="36"/>
      <c r="AY13" s="36"/>
      <c r="AZ13" s="36"/>
      <c r="BA13" s="45"/>
      <c r="BB13" s="44">
        <v>11</v>
      </c>
      <c r="BC13" s="36"/>
      <c r="BD13" s="36"/>
      <c r="BE13" s="36"/>
      <c r="BF13" s="45"/>
      <c r="BH13" s="12"/>
      <c r="BI13" s="12"/>
      <c r="BJ13" s="66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8"/>
      <c r="BY13" s="12"/>
    </row>
    <row r="14" spans="4:77" x14ac:dyDescent="0.25">
      <c r="D14" s="10"/>
      <c r="E14" s="6"/>
      <c r="F14" s="5"/>
      <c r="G14" s="12"/>
      <c r="H14" s="59"/>
      <c r="I14" s="46"/>
      <c r="J14" s="47"/>
      <c r="K14" s="47"/>
      <c r="L14" s="47"/>
      <c r="M14" s="48"/>
      <c r="N14" s="46"/>
      <c r="O14" s="47"/>
      <c r="P14" s="47"/>
      <c r="Q14" s="47"/>
      <c r="R14" s="48"/>
      <c r="S14" s="46"/>
      <c r="T14" s="47"/>
      <c r="U14" s="47"/>
      <c r="V14" s="47"/>
      <c r="W14" s="48"/>
      <c r="X14" s="46"/>
      <c r="Y14" s="47"/>
      <c r="Z14" s="47"/>
      <c r="AA14" s="47"/>
      <c r="AB14" s="48"/>
      <c r="AC14" s="46"/>
      <c r="AD14" s="47"/>
      <c r="AE14" s="47"/>
      <c r="AF14" s="47"/>
      <c r="AG14" s="48"/>
      <c r="AH14" s="46"/>
      <c r="AI14" s="47"/>
      <c r="AJ14" s="47"/>
      <c r="AK14" s="47"/>
      <c r="AL14" s="48"/>
      <c r="AM14" s="46"/>
      <c r="AN14" s="47"/>
      <c r="AO14" s="47"/>
      <c r="AP14" s="47"/>
      <c r="AQ14" s="48"/>
      <c r="AR14" s="46"/>
      <c r="AS14" s="47"/>
      <c r="AT14" s="47"/>
      <c r="AU14" s="47"/>
      <c r="AV14" s="48"/>
      <c r="AW14" s="46"/>
      <c r="AX14" s="47"/>
      <c r="AY14" s="47"/>
      <c r="AZ14" s="47"/>
      <c r="BA14" s="48"/>
      <c r="BB14" s="46"/>
      <c r="BC14" s="47"/>
      <c r="BD14" s="47"/>
      <c r="BE14" s="47"/>
      <c r="BF14" s="48"/>
      <c r="BH14" s="12"/>
      <c r="BI14" s="12"/>
      <c r="BJ14" s="63" t="s">
        <v>6</v>
      </c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5"/>
      <c r="BY14" s="12"/>
    </row>
    <row r="15" spans="4:77" x14ac:dyDescent="0.25">
      <c r="E15" s="6"/>
      <c r="F15" s="5"/>
      <c r="H15" s="59">
        <v>10</v>
      </c>
      <c r="I15" s="39">
        <f>100-1.22</f>
        <v>98.78</v>
      </c>
      <c r="J15" s="40"/>
      <c r="K15" s="40"/>
      <c r="L15" s="40"/>
      <c r="M15" s="41"/>
      <c r="N15" s="39">
        <f>100-1.22</f>
        <v>98.78</v>
      </c>
      <c r="O15" s="40"/>
      <c r="P15" s="40"/>
      <c r="Q15" s="40"/>
      <c r="R15" s="41"/>
      <c r="S15" s="39">
        <f>100-1.26</f>
        <v>98.74</v>
      </c>
      <c r="T15" s="40"/>
      <c r="U15" s="40"/>
      <c r="V15" s="40"/>
      <c r="W15" s="41"/>
      <c r="X15" s="39">
        <f>100-1.35</f>
        <v>98.65</v>
      </c>
      <c r="Y15" s="40"/>
      <c r="Z15" s="40"/>
      <c r="AA15" s="40"/>
      <c r="AB15" s="41"/>
      <c r="AC15" s="39">
        <f>100-1.38</f>
        <v>98.62</v>
      </c>
      <c r="AD15" s="40"/>
      <c r="AE15" s="40"/>
      <c r="AF15" s="40"/>
      <c r="AG15" s="41"/>
      <c r="AH15" s="39">
        <f>100-1.33</f>
        <v>98.67</v>
      </c>
      <c r="AI15" s="40"/>
      <c r="AJ15" s="40"/>
      <c r="AK15" s="40"/>
      <c r="AL15" s="41"/>
      <c r="AM15" s="39">
        <f>100-1.32</f>
        <v>98.68</v>
      </c>
      <c r="AN15" s="40"/>
      <c r="AO15" s="40"/>
      <c r="AP15" s="40"/>
      <c r="AQ15" s="41"/>
      <c r="AR15" s="39">
        <f>100-1.29</f>
        <v>98.71</v>
      </c>
      <c r="AS15" s="40"/>
      <c r="AT15" s="40"/>
      <c r="AU15" s="40"/>
      <c r="AV15" s="41"/>
      <c r="AW15" s="39">
        <f>100-1.29</f>
        <v>98.71</v>
      </c>
      <c r="AX15" s="40"/>
      <c r="AY15" s="40"/>
      <c r="AZ15" s="40"/>
      <c r="BA15" s="41"/>
      <c r="BB15" s="39">
        <f>100-1.25</f>
        <v>98.75</v>
      </c>
      <c r="BC15" s="40"/>
      <c r="BD15" s="40"/>
      <c r="BE15" s="40"/>
      <c r="BF15" s="41"/>
      <c r="BH15" s="12"/>
      <c r="BI15" s="12"/>
      <c r="BJ15" s="66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8"/>
      <c r="BY15" s="12"/>
    </row>
    <row r="16" spans="4:77" x14ac:dyDescent="0.25">
      <c r="E16" s="6"/>
      <c r="F16" s="5"/>
      <c r="H16" s="59"/>
      <c r="I16" s="42"/>
      <c r="J16" s="32"/>
      <c r="K16" s="32"/>
      <c r="L16" s="32"/>
      <c r="M16" s="43"/>
      <c r="N16" s="42"/>
      <c r="O16" s="32"/>
      <c r="P16" s="32"/>
      <c r="Q16" s="32"/>
      <c r="R16" s="43"/>
      <c r="S16" s="42"/>
      <c r="T16" s="32"/>
      <c r="U16" s="32"/>
      <c r="V16" s="32"/>
      <c r="W16" s="43"/>
      <c r="X16" s="42"/>
      <c r="Y16" s="32"/>
      <c r="Z16" s="32"/>
      <c r="AA16" s="32"/>
      <c r="AB16" s="43"/>
      <c r="AC16" s="42"/>
      <c r="AD16" s="32"/>
      <c r="AE16" s="32"/>
      <c r="AF16" s="32"/>
      <c r="AG16" s="43"/>
      <c r="AH16" s="42"/>
      <c r="AI16" s="32"/>
      <c r="AJ16" s="32"/>
      <c r="AK16" s="32"/>
      <c r="AL16" s="43"/>
      <c r="AM16" s="42"/>
      <c r="AN16" s="32"/>
      <c r="AO16" s="32"/>
      <c r="AP16" s="32"/>
      <c r="AQ16" s="43"/>
      <c r="AR16" s="42"/>
      <c r="AS16" s="32"/>
      <c r="AT16" s="32"/>
      <c r="AU16" s="32"/>
      <c r="AV16" s="43"/>
      <c r="AW16" s="42"/>
      <c r="AX16" s="32"/>
      <c r="AY16" s="32"/>
      <c r="AZ16" s="32"/>
      <c r="BA16" s="43"/>
      <c r="BB16" s="42"/>
      <c r="BC16" s="32"/>
      <c r="BD16" s="32"/>
      <c r="BE16" s="32"/>
      <c r="BF16" s="43"/>
      <c r="BH16" s="12"/>
      <c r="BI16" s="12"/>
      <c r="BJ16" s="63" t="s">
        <v>7</v>
      </c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5"/>
      <c r="BY16" s="12"/>
    </row>
    <row r="17" spans="1:77" x14ac:dyDescent="0.25">
      <c r="E17" s="6"/>
      <c r="F17" s="5"/>
      <c r="H17" s="59"/>
      <c r="I17" s="42"/>
      <c r="J17" s="32"/>
      <c r="K17" s="32"/>
      <c r="L17" s="32"/>
      <c r="M17" s="43"/>
      <c r="N17" s="42"/>
      <c r="O17" s="32"/>
      <c r="P17" s="32"/>
      <c r="Q17" s="32"/>
      <c r="R17" s="43"/>
      <c r="S17" s="42"/>
      <c r="T17" s="32"/>
      <c r="U17" s="32"/>
      <c r="V17" s="32"/>
      <c r="W17" s="43"/>
      <c r="X17" s="42"/>
      <c r="Y17" s="32"/>
      <c r="Z17" s="32"/>
      <c r="AA17" s="32"/>
      <c r="AB17" s="43"/>
      <c r="AC17" s="42"/>
      <c r="AD17" s="32"/>
      <c r="AE17" s="32"/>
      <c r="AF17" s="32"/>
      <c r="AG17" s="43"/>
      <c r="AH17" s="42"/>
      <c r="AI17" s="32"/>
      <c r="AJ17" s="32"/>
      <c r="AK17" s="32"/>
      <c r="AL17" s="43"/>
      <c r="AM17" s="42"/>
      <c r="AN17" s="32"/>
      <c r="AO17" s="32"/>
      <c r="AP17" s="32"/>
      <c r="AQ17" s="43"/>
      <c r="AR17" s="42"/>
      <c r="AS17" s="32"/>
      <c r="AT17" s="32"/>
      <c r="AU17" s="32"/>
      <c r="AV17" s="43"/>
      <c r="AW17" s="42"/>
      <c r="AX17" s="32"/>
      <c r="AY17" s="32"/>
      <c r="AZ17" s="32"/>
      <c r="BA17" s="43"/>
      <c r="BB17" s="42"/>
      <c r="BC17" s="32"/>
      <c r="BD17" s="32"/>
      <c r="BE17" s="32"/>
      <c r="BF17" s="43"/>
      <c r="BH17" s="12"/>
      <c r="BI17" s="12"/>
      <c r="BJ17" s="66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8"/>
      <c r="BY17" s="12"/>
    </row>
    <row r="18" spans="1:77" x14ac:dyDescent="0.25">
      <c r="E18" s="6"/>
      <c r="F18" s="5"/>
      <c r="H18" s="59"/>
      <c r="I18" s="44">
        <v>21</v>
      </c>
      <c r="J18" s="36"/>
      <c r="K18" s="36"/>
      <c r="L18" s="36"/>
      <c r="M18" s="45"/>
      <c r="N18" s="44">
        <v>20</v>
      </c>
      <c r="O18" s="36"/>
      <c r="P18" s="36"/>
      <c r="Q18" s="36"/>
      <c r="R18" s="45"/>
      <c r="S18" s="44">
        <v>19</v>
      </c>
      <c r="T18" s="36"/>
      <c r="U18" s="36"/>
      <c r="V18" s="36"/>
      <c r="W18" s="45"/>
      <c r="X18" s="44">
        <v>18</v>
      </c>
      <c r="Y18" s="36"/>
      <c r="Z18" s="36"/>
      <c r="AA18" s="36"/>
      <c r="AB18" s="45"/>
      <c r="AC18" s="44">
        <v>17</v>
      </c>
      <c r="AD18" s="36"/>
      <c r="AE18" s="36"/>
      <c r="AF18" s="36"/>
      <c r="AG18" s="45"/>
      <c r="AH18" s="44">
        <v>16</v>
      </c>
      <c r="AI18" s="36"/>
      <c r="AJ18" s="36"/>
      <c r="AK18" s="36"/>
      <c r="AL18" s="45"/>
      <c r="AM18" s="44">
        <v>15</v>
      </c>
      <c r="AN18" s="36"/>
      <c r="AO18" s="36"/>
      <c r="AP18" s="36"/>
      <c r="AQ18" s="45"/>
      <c r="AR18" s="44">
        <v>14</v>
      </c>
      <c r="AS18" s="36"/>
      <c r="AT18" s="36"/>
      <c r="AU18" s="36"/>
      <c r="AV18" s="45"/>
      <c r="AW18" s="44">
        <v>13</v>
      </c>
      <c r="AX18" s="36"/>
      <c r="AY18" s="36"/>
      <c r="AZ18" s="36"/>
      <c r="BA18" s="45"/>
      <c r="BB18" s="44">
        <v>12</v>
      </c>
      <c r="BC18" s="36"/>
      <c r="BD18" s="36"/>
      <c r="BE18" s="36"/>
      <c r="BF18" s="45"/>
      <c r="BH18" s="12"/>
      <c r="BI18" s="12"/>
      <c r="BJ18" s="63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5"/>
      <c r="BY18" s="12"/>
    </row>
    <row r="19" spans="1:77" x14ac:dyDescent="0.25">
      <c r="E19" s="9"/>
      <c r="F19" s="7"/>
      <c r="H19" s="59"/>
      <c r="I19" s="46"/>
      <c r="J19" s="47"/>
      <c r="K19" s="47"/>
      <c r="L19" s="47"/>
      <c r="M19" s="48"/>
      <c r="N19" s="46"/>
      <c r="O19" s="47"/>
      <c r="P19" s="47"/>
      <c r="Q19" s="47"/>
      <c r="R19" s="48"/>
      <c r="S19" s="46"/>
      <c r="T19" s="47"/>
      <c r="U19" s="47"/>
      <c r="V19" s="47"/>
      <c r="W19" s="48"/>
      <c r="X19" s="46"/>
      <c r="Y19" s="47"/>
      <c r="Z19" s="47"/>
      <c r="AA19" s="47"/>
      <c r="AB19" s="48"/>
      <c r="AC19" s="46"/>
      <c r="AD19" s="47"/>
      <c r="AE19" s="47"/>
      <c r="AF19" s="47"/>
      <c r="AG19" s="48"/>
      <c r="AH19" s="46"/>
      <c r="AI19" s="47"/>
      <c r="AJ19" s="47"/>
      <c r="AK19" s="47"/>
      <c r="AL19" s="48"/>
      <c r="AM19" s="46"/>
      <c r="AN19" s="47"/>
      <c r="AO19" s="47"/>
      <c r="AP19" s="47"/>
      <c r="AQ19" s="48"/>
      <c r="AR19" s="46"/>
      <c r="AS19" s="47"/>
      <c r="AT19" s="47"/>
      <c r="AU19" s="47"/>
      <c r="AV19" s="48"/>
      <c r="AW19" s="46"/>
      <c r="AX19" s="47"/>
      <c r="AY19" s="47"/>
      <c r="AZ19" s="47"/>
      <c r="BA19" s="48"/>
      <c r="BB19" s="46"/>
      <c r="BC19" s="47"/>
      <c r="BD19" s="47"/>
      <c r="BE19" s="47"/>
      <c r="BF19" s="48"/>
      <c r="BH19" s="12"/>
      <c r="BI19" s="12"/>
      <c r="BJ19" s="66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8"/>
      <c r="BY19" s="12"/>
    </row>
    <row r="20" spans="1:77" x14ac:dyDescent="0.25"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</row>
    <row r="23" spans="1:77" x14ac:dyDescent="0.25"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32">
        <f>AF1</f>
        <v>100</v>
      </c>
      <c r="AI23" s="36"/>
      <c r="AJ23" s="36"/>
      <c r="AK23" s="36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9"/>
    </row>
    <row r="24" spans="1:77" x14ac:dyDescent="0.25">
      <c r="C24" s="71"/>
      <c r="D24" s="71"/>
      <c r="E24" s="73"/>
      <c r="F24" s="73"/>
      <c r="G24" s="74"/>
      <c r="H24" s="74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6"/>
      <c r="AI24" s="36"/>
      <c r="AJ24" s="36"/>
      <c r="AK24" s="36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4"/>
      <c r="BG24" s="71"/>
      <c r="BH24" s="71"/>
      <c r="BI24" s="73"/>
      <c r="BJ24" s="73"/>
      <c r="BK24" s="74"/>
      <c r="BL24" s="74"/>
    </row>
    <row r="25" spans="1:77" x14ac:dyDescent="0.25">
      <c r="A25" s="17"/>
      <c r="B25" s="17"/>
      <c r="C25" s="72"/>
      <c r="D25" s="72"/>
      <c r="E25" s="60"/>
      <c r="F25" s="60"/>
      <c r="G25" s="75"/>
      <c r="H25" s="75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72"/>
      <c r="BH25" s="72"/>
      <c r="BI25" s="36"/>
      <c r="BJ25" s="36"/>
      <c r="BK25" s="75"/>
      <c r="BL25" s="75"/>
      <c r="BM25" s="17"/>
      <c r="BN25" s="17"/>
      <c r="BO25" s="60" t="s">
        <v>9</v>
      </c>
      <c r="BP25" s="60"/>
      <c r="BQ25" s="60"/>
      <c r="BR25" s="60"/>
      <c r="BS25" s="60"/>
      <c r="BT25" s="60"/>
      <c r="BU25" s="17"/>
      <c r="BV25" s="17"/>
      <c r="BW25" s="17"/>
      <c r="BX25" s="17"/>
    </row>
    <row r="26" spans="1:77" x14ac:dyDescent="0.25">
      <c r="F26" s="12"/>
      <c r="G26" s="12"/>
      <c r="H26" s="12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BF26" s="6"/>
      <c r="BG26" s="5"/>
      <c r="BI26" s="4"/>
      <c r="BJ26" s="2"/>
      <c r="BO26" s="61" t="s">
        <v>10</v>
      </c>
      <c r="BP26" s="61"/>
      <c r="BQ26" s="61"/>
      <c r="BR26" s="61"/>
      <c r="BS26" s="61"/>
      <c r="BT26" s="61"/>
    </row>
    <row r="27" spans="1:77" x14ac:dyDescent="0.25">
      <c r="F27" s="12"/>
      <c r="G27" s="12"/>
      <c r="H27" s="12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BF27" s="6"/>
      <c r="BG27" s="5"/>
      <c r="BI27" s="6"/>
      <c r="BJ27" s="5"/>
      <c r="BO27" s="36"/>
      <c r="BP27" s="36"/>
      <c r="BQ27" s="36"/>
      <c r="BR27" s="36"/>
      <c r="BS27" s="36"/>
      <c r="BT27" s="36"/>
    </row>
    <row r="28" spans="1:77" x14ac:dyDescent="0.25">
      <c r="F28" s="12"/>
      <c r="G28" s="12"/>
      <c r="H28" s="12"/>
      <c r="I28" s="14"/>
      <c r="J28" s="15"/>
      <c r="K28" s="1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BD28" s="8"/>
      <c r="BE28" s="8"/>
      <c r="BF28" s="9"/>
      <c r="BG28" s="20"/>
      <c r="BH28" s="21"/>
      <c r="BI28" s="22"/>
      <c r="BJ28" s="20"/>
      <c r="BK28" s="21"/>
      <c r="BL28" s="21"/>
      <c r="BM28" s="21"/>
      <c r="BN28" s="21"/>
      <c r="BO28" s="62"/>
      <c r="BP28" s="62"/>
      <c r="BQ28" s="62"/>
      <c r="BR28" s="62"/>
      <c r="BS28" s="62"/>
      <c r="BT28" s="62"/>
    </row>
    <row r="29" spans="1:77" x14ac:dyDescent="0.25">
      <c r="F29" s="12"/>
      <c r="G29" s="12"/>
      <c r="H29" s="12"/>
      <c r="I29" s="12"/>
      <c r="J29" s="12"/>
      <c r="K29" s="12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BC29" s="6"/>
      <c r="BD29" s="5"/>
      <c r="BI29" s="43">
        <v>2.5</v>
      </c>
      <c r="BJ29" s="32"/>
      <c r="BO29" s="36" t="s">
        <v>11</v>
      </c>
      <c r="BP29" s="36"/>
      <c r="BQ29" s="36"/>
      <c r="BR29" s="36"/>
      <c r="BS29" s="36"/>
      <c r="BT29" s="36"/>
    </row>
    <row r="30" spans="1:77" x14ac:dyDescent="0.25">
      <c r="F30" s="12"/>
      <c r="G30" s="12"/>
      <c r="H30" s="12"/>
      <c r="I30" s="12"/>
      <c r="J30" s="12"/>
      <c r="K30" s="12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BC30" s="6"/>
      <c r="BD30" s="5"/>
      <c r="BI30" s="43"/>
      <c r="BJ30" s="32"/>
      <c r="BO30" s="36"/>
      <c r="BP30" s="36"/>
      <c r="BQ30" s="36"/>
      <c r="BR30" s="36"/>
      <c r="BS30" s="36"/>
      <c r="BT30" s="36"/>
    </row>
    <row r="31" spans="1:77" x14ac:dyDescent="0.25">
      <c r="F31" s="12"/>
      <c r="G31" s="12"/>
      <c r="H31" s="12"/>
      <c r="I31" s="12"/>
      <c r="J31" s="12"/>
      <c r="K31" s="12"/>
      <c r="L31" s="14"/>
      <c r="M31" s="15"/>
      <c r="N31" s="15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BA31" s="8"/>
      <c r="BB31" s="8"/>
      <c r="BC31" s="9"/>
      <c r="BD31" s="20"/>
      <c r="BE31" s="21"/>
      <c r="BF31" s="21"/>
      <c r="BG31" s="21"/>
      <c r="BH31" s="21"/>
      <c r="BI31" s="22"/>
      <c r="BJ31" s="20"/>
      <c r="BK31" s="21"/>
      <c r="BL31" s="21"/>
      <c r="BM31" s="21"/>
      <c r="BN31" s="21"/>
      <c r="BO31" s="62"/>
      <c r="BP31" s="62"/>
      <c r="BQ31" s="62"/>
      <c r="BR31" s="62"/>
      <c r="BS31" s="62"/>
      <c r="BT31" s="62"/>
    </row>
    <row r="32" spans="1:77" x14ac:dyDescent="0.25">
      <c r="F32" s="12"/>
      <c r="G32" s="12"/>
      <c r="H32" s="12"/>
      <c r="I32" s="12"/>
      <c r="J32" s="12"/>
      <c r="K32" s="12"/>
      <c r="L32" s="12"/>
      <c r="M32" s="12"/>
      <c r="N32" s="12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Z32" s="6"/>
      <c r="BA32" s="5"/>
      <c r="BI32" s="6"/>
      <c r="BJ32" s="5"/>
      <c r="BO32" s="36" t="s">
        <v>21</v>
      </c>
      <c r="BP32" s="36"/>
      <c r="BQ32" s="36"/>
      <c r="BR32" s="36"/>
      <c r="BS32" s="36"/>
      <c r="BT32" s="36"/>
    </row>
    <row r="33" spans="1:76" x14ac:dyDescent="0.25">
      <c r="F33" s="12"/>
      <c r="G33" s="12"/>
      <c r="H33" s="12"/>
      <c r="I33" s="12"/>
      <c r="J33" s="12"/>
      <c r="K33" s="12"/>
      <c r="L33" s="12"/>
      <c r="M33" s="12"/>
      <c r="N33" s="12"/>
      <c r="O33" s="14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20"/>
      <c r="BB33" s="21"/>
      <c r="BC33" s="21"/>
      <c r="BD33" s="21"/>
      <c r="BE33" s="21"/>
      <c r="BF33" s="21"/>
      <c r="BG33" s="21"/>
      <c r="BH33" s="21"/>
      <c r="BI33" s="9"/>
      <c r="BJ33" s="7"/>
      <c r="BK33" s="21"/>
      <c r="BL33" s="21"/>
      <c r="BM33" s="21"/>
      <c r="BN33" s="21"/>
      <c r="BO33" s="62"/>
      <c r="BP33" s="62"/>
      <c r="BQ33" s="62"/>
      <c r="BR33" s="62"/>
      <c r="BS33" s="62"/>
      <c r="BT33" s="62"/>
    </row>
    <row r="34" spans="1:76" x14ac:dyDescent="0.25"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76" x14ac:dyDescent="0.25">
      <c r="F35" s="12"/>
      <c r="G35" s="12"/>
      <c r="H35" s="12"/>
      <c r="I35" s="12"/>
      <c r="J35" s="12"/>
      <c r="K35" s="12"/>
      <c r="L35" s="12"/>
      <c r="M35" s="12"/>
      <c r="N35" s="12"/>
      <c r="O35" s="14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8"/>
      <c r="AE35" s="8"/>
      <c r="AF35" s="8"/>
      <c r="AG35" s="8"/>
      <c r="AH35" s="32">
        <f>AH23-4</f>
        <v>96</v>
      </c>
      <c r="AI35" s="36"/>
      <c r="AJ35" s="36"/>
      <c r="AK35" s="36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</row>
    <row r="36" spans="1:76" x14ac:dyDescent="0.25">
      <c r="F36" s="12"/>
      <c r="G36" s="12"/>
      <c r="H36" s="12"/>
      <c r="I36" s="12"/>
      <c r="J36" s="12"/>
      <c r="K36" s="12"/>
      <c r="L36" s="12"/>
      <c r="M36" s="12"/>
      <c r="N36" s="12"/>
      <c r="O36" s="18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3"/>
      <c r="AE36" s="3"/>
      <c r="AF36" s="3"/>
      <c r="AG36" s="3"/>
      <c r="AH36" s="36"/>
      <c r="AI36" s="36"/>
      <c r="AJ36" s="36"/>
      <c r="AK36" s="36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4"/>
    </row>
    <row r="37" spans="1:76" x14ac:dyDescent="0.25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76" x14ac:dyDescent="0.25"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76" x14ac:dyDescent="0.25">
      <c r="A39" s="58" t="s">
        <v>13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</row>
    <row r="40" spans="1:76" x14ac:dyDescent="0.2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</row>
    <row r="41" spans="1:76" x14ac:dyDescent="0.2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</row>
    <row r="42" spans="1:76" x14ac:dyDescent="0.25"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76" x14ac:dyDescent="0.25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</sheetData>
  <mergeCells count="103">
    <mergeCell ref="BJ1:BN2"/>
    <mergeCell ref="BO1:BS2"/>
    <mergeCell ref="BT1:BX2"/>
    <mergeCell ref="BJ3:BN4"/>
    <mergeCell ref="BO3:BS4"/>
    <mergeCell ref="BT3:BX4"/>
    <mergeCell ref="BJ5:BN6"/>
    <mergeCell ref="BO5:BS6"/>
    <mergeCell ref="BT5:BX6"/>
    <mergeCell ref="D12:G12"/>
    <mergeCell ref="AF1:AI2"/>
    <mergeCell ref="BG24:BH25"/>
    <mergeCell ref="BI24:BJ25"/>
    <mergeCell ref="BK24:BL25"/>
    <mergeCell ref="BO25:BT25"/>
    <mergeCell ref="BO26:BT28"/>
    <mergeCell ref="BI29:BJ30"/>
    <mergeCell ref="BO29:BT31"/>
    <mergeCell ref="AM18:AQ19"/>
    <mergeCell ref="AR18:AV19"/>
    <mergeCell ref="AW18:BA19"/>
    <mergeCell ref="BB18:BF19"/>
    <mergeCell ref="AH23:AK24"/>
    <mergeCell ref="C24:D25"/>
    <mergeCell ref="E24:F25"/>
    <mergeCell ref="G24:H25"/>
    <mergeCell ref="I18:M19"/>
    <mergeCell ref="N18:R19"/>
    <mergeCell ref="S18:W19"/>
    <mergeCell ref="X18:AB19"/>
    <mergeCell ref="BJ7:BX11"/>
    <mergeCell ref="BJ12:BX13"/>
    <mergeCell ref="BJ14:BX15"/>
    <mergeCell ref="H15:H19"/>
    <mergeCell ref="I15:M17"/>
    <mergeCell ref="N15:R17"/>
    <mergeCell ref="S15:W17"/>
    <mergeCell ref="X15:AB17"/>
    <mergeCell ref="AC15:AG17"/>
    <mergeCell ref="BO32:BT33"/>
    <mergeCell ref="AH35:AK36"/>
    <mergeCell ref="A39:BX41"/>
    <mergeCell ref="BJ16:BX17"/>
    <mergeCell ref="BJ18:BX19"/>
    <mergeCell ref="AW13:BA14"/>
    <mergeCell ref="BB13:BF14"/>
    <mergeCell ref="I13:M14"/>
    <mergeCell ref="N13:R14"/>
    <mergeCell ref="S13:W14"/>
    <mergeCell ref="X13:AB14"/>
    <mergeCell ref="AC13:AG14"/>
    <mergeCell ref="AC18:AG19"/>
    <mergeCell ref="AH18:AL19"/>
    <mergeCell ref="AH15:AL17"/>
    <mergeCell ref="AM15:AQ17"/>
    <mergeCell ref="AR15:AV17"/>
    <mergeCell ref="AW15:BA17"/>
    <mergeCell ref="BB15:BF17"/>
    <mergeCell ref="H10:H14"/>
    <mergeCell ref="I10:M12"/>
    <mergeCell ref="N10:R12"/>
    <mergeCell ref="S10:W12"/>
    <mergeCell ref="X10:AB12"/>
    <mergeCell ref="AC10:AG12"/>
    <mergeCell ref="AH13:AL14"/>
    <mergeCell ref="AM13:AQ14"/>
    <mergeCell ref="AR13:AV14"/>
    <mergeCell ref="AW8:BA9"/>
    <mergeCell ref="BB8:BF9"/>
    <mergeCell ref="BB5:BF7"/>
    <mergeCell ref="I8:M9"/>
    <mergeCell ref="N8:R9"/>
    <mergeCell ref="S8:W9"/>
    <mergeCell ref="X8:AB9"/>
    <mergeCell ref="AC8:AG9"/>
    <mergeCell ref="AH10:AL12"/>
    <mergeCell ref="AM10:AQ12"/>
    <mergeCell ref="AR10:AV12"/>
    <mergeCell ref="AW10:BA12"/>
    <mergeCell ref="BB10:BF12"/>
    <mergeCell ref="H5:H9"/>
    <mergeCell ref="I5:M7"/>
    <mergeCell ref="N5:R7"/>
    <mergeCell ref="S5:W7"/>
    <mergeCell ref="X5:AB7"/>
    <mergeCell ref="AC5:AG7"/>
    <mergeCell ref="AH5:AL7"/>
    <mergeCell ref="AM4:AQ4"/>
    <mergeCell ref="AR4:AV4"/>
    <mergeCell ref="AH8:AL9"/>
    <mergeCell ref="AM8:AQ9"/>
    <mergeCell ref="AR8:AV9"/>
    <mergeCell ref="AW4:BA4"/>
    <mergeCell ref="BB4:BF4"/>
    <mergeCell ref="AM5:AQ7"/>
    <mergeCell ref="AR5:AV7"/>
    <mergeCell ref="AW5:BA7"/>
    <mergeCell ref="I4:M4"/>
    <mergeCell ref="N4:R4"/>
    <mergeCell ref="S4:W4"/>
    <mergeCell ref="X4:AB4"/>
    <mergeCell ref="AC4:AG4"/>
    <mergeCell ref="AH4:AL4"/>
  </mergeCells>
  <pageMargins left="0.25" right="0.25" top="0.75" bottom="0.75" header="0.3" footer="0.3"/>
  <pageSetup paperSize="9"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4E49-AE5C-40DF-AB75-F684AB2B331A}">
  <sheetPr>
    <pageSetUpPr fitToPage="1"/>
  </sheetPr>
  <dimension ref="A1:AP49"/>
  <sheetViews>
    <sheetView workbookViewId="0">
      <selection activeCell="AA21" sqref="AA21:AO26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41" x14ac:dyDescent="0.25">
      <c r="I1" s="7"/>
      <c r="J1" s="8"/>
      <c r="K1" s="8"/>
      <c r="L1" s="8"/>
      <c r="M1" s="8"/>
      <c r="N1" s="8"/>
      <c r="O1" s="32">
        <f>SUM(I4:W4)</f>
        <v>30</v>
      </c>
      <c r="P1" s="36"/>
      <c r="Q1" s="36"/>
      <c r="R1" s="8"/>
      <c r="S1" s="8"/>
      <c r="T1" s="8"/>
      <c r="U1" s="8"/>
      <c r="V1" s="8"/>
      <c r="W1" s="9"/>
    </row>
    <row r="2" spans="5:41" x14ac:dyDescent="0.25">
      <c r="I2" s="2"/>
      <c r="J2" s="3"/>
      <c r="K2" s="3"/>
      <c r="L2" s="3"/>
      <c r="M2" s="3"/>
      <c r="N2" s="3"/>
      <c r="O2" s="36"/>
      <c r="P2" s="36"/>
      <c r="Q2" s="36"/>
      <c r="R2" s="3"/>
      <c r="S2" s="3"/>
      <c r="T2" s="3"/>
      <c r="U2" s="3"/>
      <c r="V2" s="3"/>
      <c r="W2" s="4"/>
    </row>
    <row r="4" spans="5:41" x14ac:dyDescent="0.25">
      <c r="I4" s="70">
        <v>10</v>
      </c>
      <c r="J4" s="70"/>
      <c r="K4" s="70"/>
      <c r="L4" s="70"/>
      <c r="M4" s="70"/>
      <c r="N4" s="70">
        <v>10</v>
      </c>
      <c r="O4" s="70"/>
      <c r="P4" s="70"/>
      <c r="Q4" s="70"/>
      <c r="R4" s="70"/>
      <c r="S4" s="70">
        <v>10</v>
      </c>
      <c r="T4" s="70"/>
      <c r="U4" s="70"/>
      <c r="V4" s="70"/>
      <c r="W4" s="70"/>
      <c r="AA4" s="69" t="s">
        <v>0</v>
      </c>
      <c r="AB4" s="69"/>
      <c r="AC4" s="69"/>
      <c r="AD4" s="69"/>
      <c r="AE4" s="69"/>
      <c r="AF4" s="69" t="s">
        <v>1</v>
      </c>
      <c r="AG4" s="69"/>
      <c r="AH4" s="69"/>
      <c r="AI4" s="69"/>
      <c r="AJ4" s="69"/>
      <c r="AK4" s="69" t="s">
        <v>2</v>
      </c>
      <c r="AL4" s="69"/>
      <c r="AM4" s="69"/>
      <c r="AN4" s="69"/>
      <c r="AO4" s="69"/>
    </row>
    <row r="5" spans="5:41" x14ac:dyDescent="0.25">
      <c r="E5" s="4"/>
      <c r="F5" s="2"/>
      <c r="H5" s="59">
        <v>10</v>
      </c>
      <c r="I5" s="39">
        <f>100-1.02</f>
        <v>98.98</v>
      </c>
      <c r="J5" s="40"/>
      <c r="K5" s="40"/>
      <c r="L5" s="40"/>
      <c r="M5" s="41"/>
      <c r="N5" s="39">
        <f>100-1.07</f>
        <v>98.93</v>
      </c>
      <c r="O5" s="40"/>
      <c r="P5" s="40"/>
      <c r="Q5" s="40"/>
      <c r="R5" s="41"/>
      <c r="S5" s="39">
        <f>100-1.05</f>
        <v>98.95</v>
      </c>
      <c r="T5" s="40"/>
      <c r="U5" s="40"/>
      <c r="V5" s="40"/>
      <c r="W5" s="41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</row>
    <row r="6" spans="5:41" x14ac:dyDescent="0.25">
      <c r="E6" s="6"/>
      <c r="F6" s="5"/>
      <c r="H6" s="59"/>
      <c r="I6" s="42"/>
      <c r="J6" s="32"/>
      <c r="K6" s="32"/>
      <c r="L6" s="32"/>
      <c r="M6" s="43"/>
      <c r="N6" s="42"/>
      <c r="O6" s="32"/>
      <c r="P6" s="32"/>
      <c r="Q6" s="32"/>
      <c r="R6" s="43"/>
      <c r="S6" s="42"/>
      <c r="T6" s="32"/>
      <c r="U6" s="32"/>
      <c r="V6" s="32"/>
      <c r="W6" s="43"/>
      <c r="AA6" s="37" t="s">
        <v>15</v>
      </c>
      <c r="AB6" s="37"/>
      <c r="AC6" s="37"/>
      <c r="AD6" s="37"/>
      <c r="AE6" s="37"/>
      <c r="AF6" s="38">
        <f>SUM(I5+N5+S5+S10+S15+S20+S25+N25+I25+I20+I15+I10)/12</f>
        <v>98.905833333333348</v>
      </c>
      <c r="AG6" s="38"/>
      <c r="AH6" s="38"/>
      <c r="AI6" s="38"/>
      <c r="AJ6" s="38"/>
      <c r="AK6" s="38">
        <f>100-AF6</f>
        <v>1.0941666666666521</v>
      </c>
      <c r="AL6" s="38"/>
      <c r="AM6" s="38"/>
      <c r="AN6" s="38"/>
      <c r="AO6" s="38"/>
    </row>
    <row r="7" spans="5:41" x14ac:dyDescent="0.25">
      <c r="E7" s="6"/>
      <c r="F7" s="5"/>
      <c r="H7" s="59"/>
      <c r="I7" s="42"/>
      <c r="J7" s="32"/>
      <c r="K7" s="32"/>
      <c r="L7" s="32"/>
      <c r="M7" s="43"/>
      <c r="N7" s="42"/>
      <c r="O7" s="32"/>
      <c r="P7" s="32"/>
      <c r="Q7" s="32"/>
      <c r="R7" s="43"/>
      <c r="S7" s="42"/>
      <c r="T7" s="32"/>
      <c r="U7" s="32"/>
      <c r="V7" s="32"/>
      <c r="W7" s="43"/>
      <c r="AA7" s="37"/>
      <c r="AB7" s="37"/>
      <c r="AC7" s="37"/>
      <c r="AD7" s="37"/>
      <c r="AE7" s="37"/>
      <c r="AF7" s="38"/>
      <c r="AG7" s="38"/>
      <c r="AH7" s="38"/>
      <c r="AI7" s="38"/>
      <c r="AJ7" s="38"/>
      <c r="AK7" s="38"/>
      <c r="AL7" s="38"/>
      <c r="AM7" s="38"/>
      <c r="AN7" s="38"/>
      <c r="AO7" s="38"/>
    </row>
    <row r="8" spans="5:41" x14ac:dyDescent="0.25">
      <c r="E8" s="6"/>
      <c r="F8" s="5"/>
      <c r="H8" s="59"/>
      <c r="I8" s="44">
        <v>1</v>
      </c>
      <c r="J8" s="36"/>
      <c r="K8" s="36"/>
      <c r="L8" s="36"/>
      <c r="M8" s="45"/>
      <c r="N8" s="44">
        <v>2</v>
      </c>
      <c r="O8" s="36"/>
      <c r="P8" s="36"/>
      <c r="Q8" s="36"/>
      <c r="R8" s="45"/>
      <c r="S8" s="44">
        <v>3</v>
      </c>
      <c r="T8" s="36"/>
      <c r="U8" s="36"/>
      <c r="V8" s="36"/>
      <c r="W8" s="45"/>
      <c r="AA8" s="37" t="s">
        <v>16</v>
      </c>
      <c r="AB8" s="37"/>
      <c r="AC8" s="37"/>
      <c r="AD8" s="37"/>
      <c r="AE8" s="37"/>
      <c r="AF8" s="38">
        <f>SUM(N10+N15+N20)/3</f>
        <v>98.632000000000005</v>
      </c>
      <c r="AG8" s="38"/>
      <c r="AH8" s="38"/>
      <c r="AI8" s="38"/>
      <c r="AJ8" s="38"/>
      <c r="AK8" s="38">
        <f>100-AF8</f>
        <v>1.367999999999995</v>
      </c>
      <c r="AL8" s="76"/>
      <c r="AM8" s="76"/>
      <c r="AN8" s="76"/>
      <c r="AO8" s="76"/>
    </row>
    <row r="9" spans="5:41" x14ac:dyDescent="0.25">
      <c r="E9" s="6"/>
      <c r="F9" s="5"/>
      <c r="H9" s="59"/>
      <c r="I9" s="46"/>
      <c r="J9" s="47"/>
      <c r="K9" s="47"/>
      <c r="L9" s="47"/>
      <c r="M9" s="48"/>
      <c r="N9" s="46"/>
      <c r="O9" s="47"/>
      <c r="P9" s="47"/>
      <c r="Q9" s="47"/>
      <c r="R9" s="48"/>
      <c r="S9" s="46"/>
      <c r="T9" s="47"/>
      <c r="U9" s="47"/>
      <c r="V9" s="47"/>
      <c r="W9" s="48"/>
      <c r="AA9" s="37"/>
      <c r="AB9" s="37"/>
      <c r="AC9" s="37"/>
      <c r="AD9" s="37"/>
      <c r="AE9" s="37"/>
      <c r="AF9" s="38"/>
      <c r="AG9" s="38"/>
      <c r="AH9" s="38"/>
      <c r="AI9" s="38"/>
      <c r="AJ9" s="38"/>
      <c r="AK9" s="76"/>
      <c r="AL9" s="76"/>
      <c r="AM9" s="76"/>
      <c r="AN9" s="76"/>
      <c r="AO9" s="76"/>
    </row>
    <row r="10" spans="5:41" x14ac:dyDescent="0.25">
      <c r="E10" s="6"/>
      <c r="F10" s="5"/>
      <c r="H10" s="59">
        <v>10</v>
      </c>
      <c r="I10" s="39">
        <f>100-0.95</f>
        <v>99.05</v>
      </c>
      <c r="J10" s="40"/>
      <c r="K10" s="40"/>
      <c r="L10" s="40"/>
      <c r="M10" s="41"/>
      <c r="N10" s="39">
        <f>SUM(I10+I5+N5+S5+S10)/5-0.3</f>
        <v>98.672000000000011</v>
      </c>
      <c r="O10" s="40"/>
      <c r="P10" s="40"/>
      <c r="Q10" s="40"/>
      <c r="R10" s="41"/>
      <c r="S10" s="39">
        <f>100-1.05</f>
        <v>98.95</v>
      </c>
      <c r="T10" s="40"/>
      <c r="U10" s="40"/>
      <c r="V10" s="40"/>
      <c r="W10" s="41"/>
      <c r="AA10" s="49" t="s">
        <v>17</v>
      </c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1"/>
    </row>
    <row r="11" spans="5:41" x14ac:dyDescent="0.25">
      <c r="E11" s="6"/>
      <c r="F11" s="5"/>
      <c r="H11" s="59"/>
      <c r="I11" s="42"/>
      <c r="J11" s="32"/>
      <c r="K11" s="32"/>
      <c r="L11" s="32"/>
      <c r="M11" s="43"/>
      <c r="N11" s="42"/>
      <c r="O11" s="32"/>
      <c r="P11" s="32"/>
      <c r="Q11" s="32"/>
      <c r="R11" s="43"/>
      <c r="S11" s="42"/>
      <c r="T11" s="32"/>
      <c r="U11" s="32"/>
      <c r="V11" s="32"/>
      <c r="W11" s="43"/>
      <c r="AA11" s="52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4"/>
    </row>
    <row r="12" spans="5:41" x14ac:dyDescent="0.25">
      <c r="E12" s="6"/>
      <c r="F12" s="5"/>
      <c r="H12" s="59"/>
      <c r="I12" s="42"/>
      <c r="J12" s="32"/>
      <c r="K12" s="32"/>
      <c r="L12" s="32"/>
      <c r="M12" s="43"/>
      <c r="N12" s="42"/>
      <c r="O12" s="32"/>
      <c r="P12" s="32"/>
      <c r="Q12" s="32"/>
      <c r="R12" s="43"/>
      <c r="S12" s="42"/>
      <c r="T12" s="32"/>
      <c r="U12" s="32"/>
      <c r="V12" s="32"/>
      <c r="W12" s="43"/>
      <c r="AA12" s="52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4"/>
    </row>
    <row r="13" spans="5:41" x14ac:dyDescent="0.25">
      <c r="E13" s="6"/>
      <c r="F13" s="5"/>
      <c r="H13" s="59"/>
      <c r="I13" s="44">
        <v>12</v>
      </c>
      <c r="J13" s="36"/>
      <c r="K13" s="36"/>
      <c r="L13" s="36"/>
      <c r="M13" s="45"/>
      <c r="N13" s="44">
        <v>13</v>
      </c>
      <c r="O13" s="36"/>
      <c r="P13" s="36"/>
      <c r="Q13" s="36"/>
      <c r="R13" s="45"/>
      <c r="S13" s="44">
        <v>4</v>
      </c>
      <c r="T13" s="36"/>
      <c r="U13" s="36"/>
      <c r="V13" s="36"/>
      <c r="W13" s="45"/>
      <c r="AA13" s="52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4"/>
    </row>
    <row r="14" spans="5:41" x14ac:dyDescent="0.25">
      <c r="E14" s="6"/>
      <c r="F14" s="5"/>
      <c r="H14" s="59"/>
      <c r="I14" s="46"/>
      <c r="J14" s="47"/>
      <c r="K14" s="47"/>
      <c r="L14" s="47"/>
      <c r="M14" s="48"/>
      <c r="N14" s="46"/>
      <c r="O14" s="47"/>
      <c r="P14" s="47"/>
      <c r="Q14" s="47"/>
      <c r="R14" s="48"/>
      <c r="S14" s="46"/>
      <c r="T14" s="47"/>
      <c r="U14" s="47"/>
      <c r="V14" s="47"/>
      <c r="W14" s="48"/>
      <c r="AA14" s="52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4"/>
    </row>
    <row r="15" spans="5:41" x14ac:dyDescent="0.25">
      <c r="E15" s="6"/>
      <c r="F15" s="5"/>
      <c r="H15" s="59">
        <v>10</v>
      </c>
      <c r="I15" s="39">
        <f>100-0.99</f>
        <v>99.01</v>
      </c>
      <c r="J15" s="40"/>
      <c r="K15" s="40"/>
      <c r="L15" s="40"/>
      <c r="M15" s="41"/>
      <c r="N15" s="39">
        <f>SUM(I20+N20+S20+S15+S10+N10+I10+I15)/8</f>
        <v>98.763999999999996</v>
      </c>
      <c r="O15" s="40"/>
      <c r="P15" s="40"/>
      <c r="Q15" s="40"/>
      <c r="R15" s="41"/>
      <c r="S15" s="39">
        <f>100-1.05</f>
        <v>98.95</v>
      </c>
      <c r="T15" s="40"/>
      <c r="U15" s="40"/>
      <c r="V15" s="40"/>
      <c r="W15" s="41"/>
      <c r="AA15" s="52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4"/>
    </row>
    <row r="16" spans="5:41" x14ac:dyDescent="0.25">
      <c r="E16" s="6"/>
      <c r="F16" s="5"/>
      <c r="H16" s="59"/>
      <c r="I16" s="42"/>
      <c r="J16" s="32"/>
      <c r="K16" s="32"/>
      <c r="L16" s="32"/>
      <c r="M16" s="43"/>
      <c r="N16" s="42"/>
      <c r="O16" s="32"/>
      <c r="P16" s="32"/>
      <c r="Q16" s="32"/>
      <c r="R16" s="43"/>
      <c r="S16" s="42"/>
      <c r="T16" s="32"/>
      <c r="U16" s="32"/>
      <c r="V16" s="32"/>
      <c r="W16" s="43"/>
      <c r="AA16" s="52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4"/>
    </row>
    <row r="17" spans="4:41" x14ac:dyDescent="0.25">
      <c r="D17" s="32">
        <f>SUM(H3:H27)</f>
        <v>50</v>
      </c>
      <c r="E17" s="32"/>
      <c r="F17" s="32"/>
      <c r="G17" s="32"/>
      <c r="H17" s="59"/>
      <c r="I17" s="42"/>
      <c r="J17" s="32"/>
      <c r="K17" s="32"/>
      <c r="L17" s="32"/>
      <c r="M17" s="43"/>
      <c r="N17" s="42"/>
      <c r="O17" s="32"/>
      <c r="P17" s="32"/>
      <c r="Q17" s="32"/>
      <c r="R17" s="43"/>
      <c r="S17" s="42"/>
      <c r="T17" s="32"/>
      <c r="U17" s="32"/>
      <c r="V17" s="32"/>
      <c r="W17" s="43"/>
      <c r="AA17" s="52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4"/>
    </row>
    <row r="18" spans="4:41" x14ac:dyDescent="0.25">
      <c r="D18" s="32"/>
      <c r="E18" s="32"/>
      <c r="F18" s="32"/>
      <c r="G18" s="32"/>
      <c r="H18" s="59"/>
      <c r="I18" s="44">
        <v>11</v>
      </c>
      <c r="J18" s="36"/>
      <c r="K18" s="36"/>
      <c r="L18" s="36"/>
      <c r="M18" s="45"/>
      <c r="N18" s="44">
        <v>14</v>
      </c>
      <c r="O18" s="36"/>
      <c r="P18" s="36"/>
      <c r="Q18" s="36"/>
      <c r="R18" s="45"/>
      <c r="S18" s="44">
        <v>5</v>
      </c>
      <c r="T18" s="36"/>
      <c r="U18" s="36"/>
      <c r="V18" s="36"/>
      <c r="W18" s="45"/>
      <c r="AA18" s="52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4"/>
    </row>
    <row r="19" spans="4:41" x14ac:dyDescent="0.25">
      <c r="D19" s="10"/>
      <c r="E19" s="6"/>
      <c r="F19" s="5"/>
      <c r="G19" s="12"/>
      <c r="H19" s="59"/>
      <c r="I19" s="46"/>
      <c r="J19" s="47"/>
      <c r="K19" s="47"/>
      <c r="L19" s="47"/>
      <c r="M19" s="48"/>
      <c r="N19" s="46"/>
      <c r="O19" s="47"/>
      <c r="P19" s="47"/>
      <c r="Q19" s="47"/>
      <c r="R19" s="48"/>
      <c r="S19" s="46"/>
      <c r="T19" s="47"/>
      <c r="U19" s="47"/>
      <c r="V19" s="47"/>
      <c r="W19" s="48"/>
      <c r="AA19" s="55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7"/>
    </row>
    <row r="20" spans="4:41" x14ac:dyDescent="0.25">
      <c r="E20" s="6"/>
      <c r="F20" s="5"/>
      <c r="H20" s="59">
        <v>10</v>
      </c>
      <c r="I20" s="39">
        <f>100-1.9</f>
        <v>98.1</v>
      </c>
      <c r="J20" s="40"/>
      <c r="K20" s="40"/>
      <c r="L20" s="40"/>
      <c r="M20" s="41"/>
      <c r="N20" s="39">
        <f>SUM(I20+I25+N25+S25+S20)/5-0.35</f>
        <v>98.460000000000008</v>
      </c>
      <c r="O20" s="40"/>
      <c r="P20" s="40"/>
      <c r="Q20" s="40"/>
      <c r="R20" s="41"/>
      <c r="S20" s="39">
        <f>100-1.08</f>
        <v>98.92</v>
      </c>
      <c r="T20" s="40"/>
      <c r="U20" s="40"/>
      <c r="V20" s="40"/>
      <c r="W20" s="41"/>
      <c r="AA20" s="66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8"/>
    </row>
    <row r="21" spans="4:41" x14ac:dyDescent="0.25">
      <c r="E21" s="6"/>
      <c r="F21" s="5"/>
      <c r="H21" s="59"/>
      <c r="I21" s="42"/>
      <c r="J21" s="32"/>
      <c r="K21" s="32"/>
      <c r="L21" s="32"/>
      <c r="M21" s="43"/>
      <c r="N21" s="42"/>
      <c r="O21" s="32"/>
      <c r="P21" s="32"/>
      <c r="Q21" s="32"/>
      <c r="R21" s="43"/>
      <c r="S21" s="42"/>
      <c r="T21" s="32"/>
      <c r="U21" s="32"/>
      <c r="V21" s="32"/>
      <c r="W21" s="43"/>
      <c r="AA21" s="63" t="s">
        <v>18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5"/>
    </row>
    <row r="22" spans="4:41" x14ac:dyDescent="0.25">
      <c r="E22" s="6"/>
      <c r="F22" s="5"/>
      <c r="H22" s="59"/>
      <c r="I22" s="42"/>
      <c r="J22" s="32"/>
      <c r="K22" s="32"/>
      <c r="L22" s="32"/>
      <c r="M22" s="43"/>
      <c r="N22" s="42"/>
      <c r="O22" s="32"/>
      <c r="P22" s="32"/>
      <c r="Q22" s="32"/>
      <c r="R22" s="43"/>
      <c r="S22" s="42"/>
      <c r="T22" s="32"/>
      <c r="U22" s="32"/>
      <c r="V22" s="32"/>
      <c r="W22" s="43"/>
      <c r="AA22" s="66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8"/>
    </row>
    <row r="23" spans="4:41" x14ac:dyDescent="0.25">
      <c r="E23" s="6"/>
      <c r="F23" s="5"/>
      <c r="H23" s="59"/>
      <c r="I23" s="44">
        <v>10</v>
      </c>
      <c r="J23" s="36"/>
      <c r="K23" s="36"/>
      <c r="L23" s="36"/>
      <c r="M23" s="45"/>
      <c r="N23" s="44">
        <v>15</v>
      </c>
      <c r="O23" s="36"/>
      <c r="P23" s="36"/>
      <c r="Q23" s="36"/>
      <c r="R23" s="45"/>
      <c r="S23" s="44">
        <v>6</v>
      </c>
      <c r="T23" s="36"/>
      <c r="U23" s="36"/>
      <c r="V23" s="36"/>
      <c r="W23" s="45"/>
      <c r="AA23" s="63" t="s">
        <v>6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5"/>
    </row>
    <row r="24" spans="4:41" x14ac:dyDescent="0.25">
      <c r="E24" s="6"/>
      <c r="F24" s="5"/>
      <c r="H24" s="59"/>
      <c r="I24" s="46"/>
      <c r="J24" s="47"/>
      <c r="K24" s="47"/>
      <c r="L24" s="47"/>
      <c r="M24" s="48"/>
      <c r="N24" s="46"/>
      <c r="O24" s="47"/>
      <c r="P24" s="47"/>
      <c r="Q24" s="47"/>
      <c r="R24" s="48"/>
      <c r="S24" s="46"/>
      <c r="T24" s="47"/>
      <c r="U24" s="47"/>
      <c r="V24" s="47"/>
      <c r="W24" s="48"/>
      <c r="AA24" s="66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8"/>
    </row>
    <row r="25" spans="4:41" x14ac:dyDescent="0.25">
      <c r="E25" s="6"/>
      <c r="F25" s="5"/>
      <c r="H25" s="59">
        <v>10</v>
      </c>
      <c r="I25" s="39">
        <f>100-1</f>
        <v>99</v>
      </c>
      <c r="J25" s="40"/>
      <c r="K25" s="40"/>
      <c r="L25" s="40"/>
      <c r="M25" s="41"/>
      <c r="N25" s="39">
        <f>100-0.92</f>
        <v>99.08</v>
      </c>
      <c r="O25" s="40"/>
      <c r="P25" s="40"/>
      <c r="Q25" s="40"/>
      <c r="R25" s="41"/>
      <c r="S25" s="39">
        <f>100-1.05</f>
        <v>98.95</v>
      </c>
      <c r="T25" s="40"/>
      <c r="U25" s="40"/>
      <c r="V25" s="40"/>
      <c r="W25" s="41"/>
      <c r="AA25" s="63" t="s">
        <v>7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5"/>
    </row>
    <row r="26" spans="4:41" x14ac:dyDescent="0.25">
      <c r="E26" s="6"/>
      <c r="F26" s="5"/>
      <c r="H26" s="59"/>
      <c r="I26" s="42"/>
      <c r="J26" s="32"/>
      <c r="K26" s="32"/>
      <c r="L26" s="32"/>
      <c r="M26" s="43"/>
      <c r="N26" s="42"/>
      <c r="O26" s="32"/>
      <c r="P26" s="32"/>
      <c r="Q26" s="32"/>
      <c r="R26" s="43"/>
      <c r="S26" s="42"/>
      <c r="T26" s="32"/>
      <c r="U26" s="32"/>
      <c r="V26" s="32"/>
      <c r="W26" s="43"/>
      <c r="AA26" s="66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8"/>
    </row>
    <row r="27" spans="4:41" x14ac:dyDescent="0.25">
      <c r="E27" s="6"/>
      <c r="F27" s="5"/>
      <c r="H27" s="59"/>
      <c r="I27" s="42"/>
      <c r="J27" s="32"/>
      <c r="K27" s="32"/>
      <c r="L27" s="32"/>
      <c r="M27" s="43"/>
      <c r="N27" s="42"/>
      <c r="O27" s="32"/>
      <c r="P27" s="32"/>
      <c r="Q27" s="32"/>
      <c r="R27" s="43"/>
      <c r="S27" s="42"/>
      <c r="T27" s="32"/>
      <c r="U27" s="32"/>
      <c r="V27" s="32"/>
      <c r="W27" s="43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5"/>
    </row>
    <row r="28" spans="4:41" x14ac:dyDescent="0.25">
      <c r="E28" s="6"/>
      <c r="F28" s="5"/>
      <c r="H28" s="59"/>
      <c r="I28" s="44">
        <v>9</v>
      </c>
      <c r="J28" s="36"/>
      <c r="K28" s="36"/>
      <c r="L28" s="36"/>
      <c r="M28" s="45"/>
      <c r="N28" s="44">
        <v>8</v>
      </c>
      <c r="O28" s="36"/>
      <c r="P28" s="36"/>
      <c r="Q28" s="36"/>
      <c r="R28" s="45"/>
      <c r="S28" s="44">
        <v>7</v>
      </c>
      <c r="T28" s="36"/>
      <c r="U28" s="36"/>
      <c r="V28" s="36"/>
      <c r="W28" s="45"/>
      <c r="AA28" s="66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8"/>
    </row>
    <row r="29" spans="4:41" x14ac:dyDescent="0.25">
      <c r="E29" s="9"/>
      <c r="F29" s="7"/>
      <c r="H29" s="59"/>
      <c r="I29" s="46"/>
      <c r="J29" s="47"/>
      <c r="K29" s="47"/>
      <c r="L29" s="47"/>
      <c r="M29" s="48"/>
      <c r="N29" s="46"/>
      <c r="O29" s="47"/>
      <c r="P29" s="47"/>
      <c r="Q29" s="47"/>
      <c r="R29" s="48"/>
      <c r="S29" s="46"/>
      <c r="T29" s="47"/>
      <c r="U29" s="47"/>
      <c r="V29" s="47"/>
      <c r="W29" s="48"/>
    </row>
    <row r="32" spans="4:41" x14ac:dyDescent="0.25"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32">
        <f>O1</f>
        <v>30</v>
      </c>
      <c r="U32" s="36"/>
      <c r="V32" s="36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9"/>
    </row>
    <row r="33" spans="1:42" x14ac:dyDescent="0.25">
      <c r="A33" s="12"/>
      <c r="B33" s="12"/>
      <c r="C33" s="12"/>
      <c r="D33" s="12"/>
      <c r="E33" s="12"/>
      <c r="F33" s="12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36"/>
      <c r="U33" s="36"/>
      <c r="V33" s="36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31"/>
      <c r="AH33" s="12"/>
      <c r="AI33" s="12"/>
      <c r="AJ33" s="12"/>
      <c r="AK33" s="12"/>
      <c r="AL33" s="12"/>
      <c r="AM33" s="12"/>
      <c r="AN33" s="12"/>
      <c r="AO33" s="12"/>
      <c r="AP33" s="12"/>
    </row>
    <row r="34" spans="1:42" x14ac:dyDescent="0.25">
      <c r="A34" s="60" t="s">
        <v>9</v>
      </c>
      <c r="B34" s="60"/>
      <c r="C34" s="60"/>
      <c r="D34" s="24"/>
      <c r="E34" s="28"/>
      <c r="F34" s="2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4"/>
      <c r="AI34" s="28"/>
      <c r="AJ34" s="25"/>
      <c r="AK34" s="12"/>
      <c r="AL34" s="12"/>
      <c r="AM34" s="26"/>
      <c r="AN34" s="26"/>
      <c r="AO34" s="26"/>
      <c r="AP34" s="12"/>
    </row>
    <row r="35" spans="1:42" x14ac:dyDescent="0.25">
      <c r="A35" s="61" t="s">
        <v>10</v>
      </c>
      <c r="B35" s="61"/>
      <c r="C35" s="61"/>
      <c r="D35" s="27"/>
      <c r="E35" s="27"/>
      <c r="F35" s="29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12"/>
      <c r="AI35" s="12"/>
      <c r="AJ35" s="12"/>
      <c r="AK35" s="31"/>
      <c r="AL35" s="18"/>
      <c r="AM35" s="12"/>
      <c r="AN35" s="12"/>
      <c r="AO35" s="12"/>
      <c r="AP35" s="12"/>
    </row>
    <row r="36" spans="1:42" x14ac:dyDescent="0.25">
      <c r="A36" s="62"/>
      <c r="B36" s="62"/>
      <c r="C36" s="62"/>
      <c r="D36" s="23"/>
      <c r="E36" s="23"/>
      <c r="F36" s="30"/>
      <c r="G36" s="14"/>
      <c r="H36" s="1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5"/>
      <c r="AG36" s="16"/>
      <c r="AH36" s="12"/>
      <c r="AI36" s="12"/>
      <c r="AJ36" s="12"/>
      <c r="AK36" s="13"/>
      <c r="AL36" s="11"/>
      <c r="AM36" s="12"/>
      <c r="AN36" s="12"/>
      <c r="AO36" s="12"/>
      <c r="AP36" s="12"/>
    </row>
    <row r="37" spans="1:42" x14ac:dyDescent="0.25">
      <c r="A37" s="36" t="s">
        <v>11</v>
      </c>
      <c r="B37" s="36"/>
      <c r="C37" s="36"/>
      <c r="D37" s="12"/>
      <c r="E37" s="12"/>
      <c r="F37" s="12"/>
      <c r="G37" s="12"/>
      <c r="H37" s="13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3"/>
      <c r="AF37" s="12"/>
      <c r="AG37" s="12"/>
      <c r="AH37" s="12"/>
      <c r="AI37" s="12"/>
      <c r="AJ37" s="32">
        <v>3</v>
      </c>
      <c r="AK37" s="32"/>
      <c r="AL37" s="32"/>
      <c r="AM37" s="32"/>
      <c r="AN37" s="12"/>
      <c r="AO37" s="12"/>
      <c r="AP37" s="12"/>
    </row>
    <row r="38" spans="1:42" x14ac:dyDescent="0.25">
      <c r="A38" s="62"/>
      <c r="B38" s="62"/>
      <c r="C38" s="62"/>
      <c r="D38" s="23"/>
      <c r="E38" s="23"/>
      <c r="F38" s="23"/>
      <c r="G38" s="23"/>
      <c r="H38" s="30"/>
      <c r="I38" s="14"/>
      <c r="J38" s="1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5"/>
      <c r="AE38" s="16"/>
      <c r="AF38" s="12"/>
      <c r="AG38" s="12"/>
      <c r="AH38" s="12"/>
      <c r="AI38" s="12"/>
      <c r="AJ38" s="32"/>
      <c r="AK38" s="32"/>
      <c r="AL38" s="32"/>
      <c r="AM38" s="32"/>
      <c r="AN38" s="12"/>
      <c r="AO38" s="12"/>
      <c r="AP38" s="12"/>
    </row>
    <row r="39" spans="1:42" x14ac:dyDescent="0.25">
      <c r="A39" s="36" t="s">
        <v>14</v>
      </c>
      <c r="B39" s="36"/>
      <c r="C39" s="36"/>
      <c r="D39" s="12"/>
      <c r="E39" s="12"/>
      <c r="F39" s="12"/>
      <c r="G39" s="12"/>
      <c r="H39" s="12"/>
      <c r="I39" s="12"/>
      <c r="J39" s="13"/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D39" s="12"/>
      <c r="AE39" s="12"/>
      <c r="AF39" s="12"/>
      <c r="AG39" s="12"/>
      <c r="AH39" s="12"/>
      <c r="AI39" s="12"/>
      <c r="AJ39" s="12"/>
      <c r="AK39" s="13"/>
      <c r="AL39" s="11"/>
      <c r="AM39" s="12"/>
      <c r="AN39" s="12"/>
      <c r="AO39" s="12"/>
      <c r="AP39" s="12"/>
    </row>
    <row r="40" spans="1:42" x14ac:dyDescent="0.25">
      <c r="A40" s="62"/>
      <c r="B40" s="62"/>
      <c r="C40" s="62"/>
      <c r="D40" s="23"/>
      <c r="E40" s="23"/>
      <c r="F40" s="23"/>
      <c r="G40" s="23"/>
      <c r="H40" s="23"/>
      <c r="I40" s="23"/>
      <c r="J40" s="30"/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6"/>
      <c r="AD40" s="12"/>
      <c r="AE40" s="12"/>
      <c r="AF40" s="12"/>
      <c r="AG40" s="12"/>
      <c r="AH40" s="12"/>
      <c r="AI40" s="12"/>
      <c r="AJ40" s="12"/>
      <c r="AK40" s="16"/>
      <c r="AL40" s="14"/>
      <c r="AM40" s="12"/>
      <c r="AN40" s="12"/>
      <c r="AO40" s="12"/>
      <c r="AP40" s="12"/>
    </row>
    <row r="41" spans="1:42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 spans="1:4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4"/>
      <c r="L42" s="15"/>
      <c r="M42" s="15"/>
      <c r="N42" s="15"/>
      <c r="O42" s="15"/>
      <c r="P42" s="15"/>
      <c r="Q42" s="15"/>
      <c r="R42" s="15"/>
      <c r="S42" s="15"/>
      <c r="T42" s="32">
        <f>T32-4</f>
        <v>26</v>
      </c>
      <c r="U42" s="36"/>
      <c r="V42" s="36"/>
      <c r="W42" s="15"/>
      <c r="X42" s="15"/>
      <c r="Y42" s="15"/>
      <c r="Z42" s="15"/>
      <c r="AA42" s="15"/>
      <c r="AB42" s="15"/>
      <c r="AC42" s="16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  <row r="43" spans="1:42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8"/>
      <c r="L43" s="19"/>
      <c r="M43" s="19"/>
      <c r="N43" s="19"/>
      <c r="O43" s="19"/>
      <c r="P43" s="19"/>
      <c r="Q43" s="19"/>
      <c r="R43" s="19"/>
      <c r="S43" s="19"/>
      <c r="T43" s="36"/>
      <c r="U43" s="36"/>
      <c r="V43" s="36"/>
      <c r="W43" s="19"/>
      <c r="X43" s="19"/>
      <c r="Y43" s="19"/>
      <c r="Z43" s="19"/>
      <c r="AA43" s="19"/>
      <c r="AB43" s="19"/>
      <c r="AC43" s="31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 spans="1:42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</row>
    <row r="45" spans="1:42" x14ac:dyDescent="0.25">
      <c r="A45" s="58" t="s">
        <v>13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</row>
    <row r="46" spans="1:42" x14ac:dyDescent="0.2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</row>
    <row r="47" spans="1:42" x14ac:dyDescent="0.2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</row>
    <row r="48" spans="1:42" x14ac:dyDescent="0.25"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6:18" x14ac:dyDescent="0.25"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</sheetData>
  <mergeCells count="63">
    <mergeCell ref="AF8:AJ9"/>
    <mergeCell ref="S4:W4"/>
    <mergeCell ref="AA4:AE5"/>
    <mergeCell ref="I4:M4"/>
    <mergeCell ref="N4:R4"/>
    <mergeCell ref="AA8:AE9"/>
    <mergeCell ref="AK8:AO9"/>
    <mergeCell ref="H10:H14"/>
    <mergeCell ref="I10:M12"/>
    <mergeCell ref="N10:R12"/>
    <mergeCell ref="S8:W9"/>
    <mergeCell ref="H5:H9"/>
    <mergeCell ref="S5:W7"/>
    <mergeCell ref="AA6:AE7"/>
    <mergeCell ref="AF6:AJ7"/>
    <mergeCell ref="AK6:AO7"/>
    <mergeCell ref="I8:M9"/>
    <mergeCell ref="N8:R9"/>
    <mergeCell ref="AF4:AJ5"/>
    <mergeCell ref="AK4:AO5"/>
    <mergeCell ref="I5:M7"/>
    <mergeCell ref="N5:R7"/>
    <mergeCell ref="H15:H19"/>
    <mergeCell ref="I15:M17"/>
    <mergeCell ref="N15:R17"/>
    <mergeCell ref="AA10:AO19"/>
    <mergeCell ref="I13:M14"/>
    <mergeCell ref="N13:R14"/>
    <mergeCell ref="S10:W12"/>
    <mergeCell ref="S18:W19"/>
    <mergeCell ref="I18:M19"/>
    <mergeCell ref="N18:R19"/>
    <mergeCell ref="S15:W17"/>
    <mergeCell ref="S13:W14"/>
    <mergeCell ref="S23:W24"/>
    <mergeCell ref="AA23:AO24"/>
    <mergeCell ref="H25:H29"/>
    <mergeCell ref="I25:M27"/>
    <mergeCell ref="N25:R27"/>
    <mergeCell ref="H20:H24"/>
    <mergeCell ref="I20:M22"/>
    <mergeCell ref="N20:R22"/>
    <mergeCell ref="I23:M24"/>
    <mergeCell ref="N23:R24"/>
    <mergeCell ref="AA20:AO20"/>
    <mergeCell ref="S20:W22"/>
    <mergeCell ref="AA21:AO22"/>
    <mergeCell ref="T42:V43"/>
    <mergeCell ref="A45:AO47"/>
    <mergeCell ref="D17:G18"/>
    <mergeCell ref="O1:Q2"/>
    <mergeCell ref="A34:C34"/>
    <mergeCell ref="A35:C36"/>
    <mergeCell ref="A37:C38"/>
    <mergeCell ref="AJ37:AM38"/>
    <mergeCell ref="S28:W29"/>
    <mergeCell ref="A39:C40"/>
    <mergeCell ref="T32:V33"/>
    <mergeCell ref="AA25:AO26"/>
    <mergeCell ref="AA27:AO28"/>
    <mergeCell ref="I28:M29"/>
    <mergeCell ref="N28:R29"/>
    <mergeCell ref="S25:W27"/>
  </mergeCells>
  <pageMargins left="0.25" right="0.25" top="0.75" bottom="0.75" header="0.3" footer="0.3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0944-0F5B-465E-A60F-94505C585B28}">
  <sheetPr>
    <pageSetUpPr fitToPage="1"/>
  </sheetPr>
  <dimension ref="A1:CH58"/>
  <sheetViews>
    <sheetView workbookViewId="0">
      <selection activeCell="BL57" sqref="BL57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86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32">
        <f>SUM(I4:BP4)</f>
        <v>120</v>
      </c>
      <c r="AN1" s="36"/>
      <c r="AO1" s="36"/>
      <c r="AP1" s="36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9"/>
    </row>
    <row r="2" spans="5:86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6"/>
      <c r="AN2" s="36"/>
      <c r="AO2" s="36"/>
      <c r="AP2" s="36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4"/>
    </row>
    <row r="4" spans="5:86" x14ac:dyDescent="0.25">
      <c r="I4" s="70">
        <v>10</v>
      </c>
      <c r="J4" s="70"/>
      <c r="K4" s="70"/>
      <c r="L4" s="70"/>
      <c r="M4" s="70"/>
      <c r="N4" s="70">
        <v>10</v>
      </c>
      <c r="O4" s="70"/>
      <c r="P4" s="70"/>
      <c r="Q4" s="70"/>
      <c r="R4" s="70"/>
      <c r="S4" s="70">
        <v>10</v>
      </c>
      <c r="T4" s="70"/>
      <c r="U4" s="70"/>
      <c r="V4" s="70"/>
      <c r="W4" s="70"/>
      <c r="X4" s="70">
        <v>10</v>
      </c>
      <c r="Y4" s="70"/>
      <c r="Z4" s="70"/>
      <c r="AA4" s="70"/>
      <c r="AB4" s="70"/>
      <c r="AC4" s="70">
        <v>10</v>
      </c>
      <c r="AD4" s="70"/>
      <c r="AE4" s="70"/>
      <c r="AF4" s="70"/>
      <c r="AG4" s="70"/>
      <c r="AH4" s="70">
        <v>10</v>
      </c>
      <c r="AI4" s="70"/>
      <c r="AJ4" s="70"/>
      <c r="AK4" s="70"/>
      <c r="AL4" s="70"/>
      <c r="AM4" s="70">
        <v>10</v>
      </c>
      <c r="AN4" s="70"/>
      <c r="AO4" s="70"/>
      <c r="AP4" s="70"/>
      <c r="AQ4" s="70"/>
      <c r="AR4" s="70">
        <v>10</v>
      </c>
      <c r="AS4" s="70"/>
      <c r="AT4" s="70"/>
      <c r="AU4" s="70"/>
      <c r="AV4" s="70"/>
      <c r="AW4" s="70">
        <v>10</v>
      </c>
      <c r="AX4" s="70"/>
      <c r="AY4" s="70"/>
      <c r="AZ4" s="70"/>
      <c r="BA4" s="70"/>
      <c r="BB4" s="70">
        <v>10</v>
      </c>
      <c r="BC4" s="70"/>
      <c r="BD4" s="70"/>
      <c r="BE4" s="70"/>
      <c r="BF4" s="70"/>
      <c r="BG4" s="70">
        <v>10</v>
      </c>
      <c r="BH4" s="70"/>
      <c r="BI4" s="70"/>
      <c r="BJ4" s="70"/>
      <c r="BK4" s="70"/>
      <c r="BL4" s="70">
        <v>10</v>
      </c>
      <c r="BM4" s="70"/>
      <c r="BN4" s="70"/>
      <c r="BO4" s="70"/>
      <c r="BP4" s="70"/>
      <c r="BT4" s="69" t="s">
        <v>0</v>
      </c>
      <c r="BU4" s="69"/>
      <c r="BV4" s="69"/>
      <c r="BW4" s="69"/>
      <c r="BX4" s="69"/>
      <c r="BY4" s="69" t="s">
        <v>1</v>
      </c>
      <c r="BZ4" s="69"/>
      <c r="CA4" s="69"/>
      <c r="CB4" s="69"/>
      <c r="CC4" s="69"/>
      <c r="CD4" s="69" t="s">
        <v>2</v>
      </c>
      <c r="CE4" s="69"/>
      <c r="CF4" s="69"/>
      <c r="CG4" s="69"/>
      <c r="CH4" s="69"/>
    </row>
    <row r="5" spans="5:86" x14ac:dyDescent="0.25">
      <c r="E5" s="4"/>
      <c r="F5" s="2"/>
      <c r="H5" s="59">
        <v>10</v>
      </c>
      <c r="I5" s="39">
        <f>100-1.3</f>
        <v>98.7</v>
      </c>
      <c r="J5" s="40"/>
      <c r="K5" s="40"/>
      <c r="L5" s="40"/>
      <c r="M5" s="41"/>
      <c r="N5" s="39">
        <f>100-1.3</f>
        <v>98.7</v>
      </c>
      <c r="O5" s="40"/>
      <c r="P5" s="40"/>
      <c r="Q5" s="40"/>
      <c r="R5" s="41"/>
      <c r="S5" s="39">
        <f>100-1.28</f>
        <v>98.72</v>
      </c>
      <c r="T5" s="40"/>
      <c r="U5" s="40"/>
      <c r="V5" s="40"/>
      <c r="W5" s="41"/>
      <c r="X5" s="39">
        <f>100-1.26</f>
        <v>98.74</v>
      </c>
      <c r="Y5" s="40"/>
      <c r="Z5" s="40"/>
      <c r="AA5" s="40"/>
      <c r="AB5" s="41"/>
      <c r="AC5" s="39">
        <f>100-1.26</f>
        <v>98.74</v>
      </c>
      <c r="AD5" s="40"/>
      <c r="AE5" s="40"/>
      <c r="AF5" s="40"/>
      <c r="AG5" s="41"/>
      <c r="AH5" s="39">
        <f>100-1.28</f>
        <v>98.72</v>
      </c>
      <c r="AI5" s="40"/>
      <c r="AJ5" s="40"/>
      <c r="AK5" s="40"/>
      <c r="AL5" s="41"/>
      <c r="AM5" s="39">
        <f>100-1.35</f>
        <v>98.65</v>
      </c>
      <c r="AN5" s="40"/>
      <c r="AO5" s="40"/>
      <c r="AP5" s="40"/>
      <c r="AQ5" s="41"/>
      <c r="AR5" s="39">
        <f>100-1.32</f>
        <v>98.68</v>
      </c>
      <c r="AS5" s="40"/>
      <c r="AT5" s="40"/>
      <c r="AU5" s="40"/>
      <c r="AV5" s="41"/>
      <c r="AW5" s="39">
        <f>100-1.32</f>
        <v>98.68</v>
      </c>
      <c r="AX5" s="40"/>
      <c r="AY5" s="40"/>
      <c r="AZ5" s="40"/>
      <c r="BA5" s="41"/>
      <c r="BB5" s="39">
        <f>100-1.32</f>
        <v>98.68</v>
      </c>
      <c r="BC5" s="40"/>
      <c r="BD5" s="40"/>
      <c r="BE5" s="40"/>
      <c r="BF5" s="41"/>
      <c r="BG5" s="39">
        <f>100-1.29</f>
        <v>98.71</v>
      </c>
      <c r="BH5" s="40"/>
      <c r="BI5" s="40"/>
      <c r="BJ5" s="40"/>
      <c r="BK5" s="41"/>
      <c r="BL5" s="39">
        <f>100-1.34</f>
        <v>98.66</v>
      </c>
      <c r="BM5" s="40"/>
      <c r="BN5" s="40"/>
      <c r="BO5" s="40"/>
      <c r="BP5" s="41"/>
      <c r="BT5" s="69"/>
      <c r="BU5" s="69"/>
      <c r="BV5" s="69"/>
      <c r="BW5" s="69"/>
      <c r="BX5" s="69"/>
      <c r="BY5" s="69"/>
      <c r="BZ5" s="69"/>
      <c r="CA5" s="69"/>
      <c r="CB5" s="69"/>
      <c r="CC5" s="69"/>
      <c r="CD5" s="69"/>
      <c r="CE5" s="69"/>
      <c r="CF5" s="69"/>
      <c r="CG5" s="69"/>
      <c r="CH5" s="69"/>
    </row>
    <row r="6" spans="5:86" x14ac:dyDescent="0.25">
      <c r="E6" s="6"/>
      <c r="F6" s="5"/>
      <c r="H6" s="59"/>
      <c r="I6" s="42"/>
      <c r="J6" s="32"/>
      <c r="K6" s="32"/>
      <c r="L6" s="32"/>
      <c r="M6" s="43"/>
      <c r="N6" s="42"/>
      <c r="O6" s="32"/>
      <c r="P6" s="32"/>
      <c r="Q6" s="32"/>
      <c r="R6" s="43"/>
      <c r="S6" s="42"/>
      <c r="T6" s="32"/>
      <c r="U6" s="32"/>
      <c r="V6" s="32"/>
      <c r="W6" s="43"/>
      <c r="X6" s="42"/>
      <c r="Y6" s="32"/>
      <c r="Z6" s="32"/>
      <c r="AA6" s="32"/>
      <c r="AB6" s="43"/>
      <c r="AC6" s="42"/>
      <c r="AD6" s="32"/>
      <c r="AE6" s="32"/>
      <c r="AF6" s="32"/>
      <c r="AG6" s="43"/>
      <c r="AH6" s="42"/>
      <c r="AI6" s="32"/>
      <c r="AJ6" s="32"/>
      <c r="AK6" s="32"/>
      <c r="AL6" s="43"/>
      <c r="AM6" s="42"/>
      <c r="AN6" s="32"/>
      <c r="AO6" s="32"/>
      <c r="AP6" s="32"/>
      <c r="AQ6" s="43"/>
      <c r="AR6" s="42"/>
      <c r="AS6" s="32"/>
      <c r="AT6" s="32"/>
      <c r="AU6" s="32"/>
      <c r="AV6" s="43"/>
      <c r="AW6" s="42"/>
      <c r="AX6" s="32"/>
      <c r="AY6" s="32"/>
      <c r="AZ6" s="32"/>
      <c r="BA6" s="43"/>
      <c r="BB6" s="42"/>
      <c r="BC6" s="32"/>
      <c r="BD6" s="32"/>
      <c r="BE6" s="32"/>
      <c r="BF6" s="43"/>
      <c r="BG6" s="42"/>
      <c r="BH6" s="32"/>
      <c r="BI6" s="32"/>
      <c r="BJ6" s="32"/>
      <c r="BK6" s="43"/>
      <c r="BL6" s="42"/>
      <c r="BM6" s="32"/>
      <c r="BN6" s="32"/>
      <c r="BO6" s="32"/>
      <c r="BP6" s="43"/>
      <c r="BT6" s="37" t="s">
        <v>3</v>
      </c>
      <c r="BU6" s="37"/>
      <c r="BV6" s="37"/>
      <c r="BW6" s="37"/>
      <c r="BX6" s="37"/>
      <c r="BY6" s="38">
        <f>SUM(I5+N5+S5+X5+AC5+AH5+AM5+AR5+AW5+BB5+BG5+BL5+BL10+BL15+BL20+BL25+BL30+BG30+BB30+AW30+AR30+AM30+AH30+AC30+X30+S30+N30+I30+I25+I20+I15+I10)/32</f>
        <v>98.697500000000019</v>
      </c>
      <c r="BZ6" s="38"/>
      <c r="CA6" s="38"/>
      <c r="CB6" s="38"/>
      <c r="CC6" s="38"/>
      <c r="CD6" s="38">
        <f>100-BY6</f>
        <v>1.3024999999999807</v>
      </c>
      <c r="CE6" s="38"/>
      <c r="CF6" s="38"/>
      <c r="CG6" s="38"/>
      <c r="CH6" s="38"/>
    </row>
    <row r="7" spans="5:86" x14ac:dyDescent="0.25">
      <c r="E7" s="6"/>
      <c r="F7" s="5"/>
      <c r="H7" s="59"/>
      <c r="I7" s="42"/>
      <c r="J7" s="32"/>
      <c r="K7" s="32"/>
      <c r="L7" s="32"/>
      <c r="M7" s="43"/>
      <c r="N7" s="42"/>
      <c r="O7" s="32"/>
      <c r="P7" s="32"/>
      <c r="Q7" s="32"/>
      <c r="R7" s="43"/>
      <c r="S7" s="42"/>
      <c r="T7" s="32"/>
      <c r="U7" s="32"/>
      <c r="V7" s="32"/>
      <c r="W7" s="43"/>
      <c r="X7" s="42"/>
      <c r="Y7" s="32"/>
      <c r="Z7" s="32"/>
      <c r="AA7" s="32"/>
      <c r="AB7" s="43"/>
      <c r="AC7" s="42"/>
      <c r="AD7" s="32"/>
      <c r="AE7" s="32"/>
      <c r="AF7" s="32"/>
      <c r="AG7" s="43"/>
      <c r="AH7" s="42"/>
      <c r="AI7" s="32"/>
      <c r="AJ7" s="32"/>
      <c r="AK7" s="32"/>
      <c r="AL7" s="43"/>
      <c r="AM7" s="42"/>
      <c r="AN7" s="32"/>
      <c r="AO7" s="32"/>
      <c r="AP7" s="32"/>
      <c r="AQ7" s="43"/>
      <c r="AR7" s="42"/>
      <c r="AS7" s="32"/>
      <c r="AT7" s="32"/>
      <c r="AU7" s="32"/>
      <c r="AV7" s="43"/>
      <c r="AW7" s="42"/>
      <c r="AX7" s="32"/>
      <c r="AY7" s="32"/>
      <c r="AZ7" s="32"/>
      <c r="BA7" s="43"/>
      <c r="BB7" s="42"/>
      <c r="BC7" s="32"/>
      <c r="BD7" s="32"/>
      <c r="BE7" s="32"/>
      <c r="BF7" s="43"/>
      <c r="BG7" s="42"/>
      <c r="BH7" s="32"/>
      <c r="BI7" s="32"/>
      <c r="BJ7" s="32"/>
      <c r="BK7" s="43"/>
      <c r="BL7" s="42"/>
      <c r="BM7" s="32"/>
      <c r="BN7" s="32"/>
      <c r="BO7" s="32"/>
      <c r="BP7" s="43"/>
      <c r="BT7" s="37"/>
      <c r="BU7" s="37"/>
      <c r="BV7" s="37"/>
      <c r="BW7" s="37"/>
      <c r="BX7" s="37"/>
      <c r="BY7" s="38"/>
      <c r="BZ7" s="38"/>
      <c r="CA7" s="38"/>
      <c r="CB7" s="38"/>
      <c r="CC7" s="38"/>
      <c r="CD7" s="38"/>
      <c r="CE7" s="38"/>
      <c r="CF7" s="38"/>
      <c r="CG7" s="38"/>
      <c r="CH7" s="38"/>
    </row>
    <row r="8" spans="5:86" x14ac:dyDescent="0.25">
      <c r="E8" s="6"/>
      <c r="F8" s="5"/>
      <c r="H8" s="59"/>
      <c r="I8" s="44">
        <v>1</v>
      </c>
      <c r="J8" s="36"/>
      <c r="K8" s="36"/>
      <c r="L8" s="36"/>
      <c r="M8" s="45"/>
      <c r="N8" s="44">
        <v>2</v>
      </c>
      <c r="O8" s="36"/>
      <c r="P8" s="36"/>
      <c r="Q8" s="36"/>
      <c r="R8" s="45"/>
      <c r="S8" s="44">
        <v>3</v>
      </c>
      <c r="T8" s="36"/>
      <c r="U8" s="36"/>
      <c r="V8" s="36"/>
      <c r="W8" s="45"/>
      <c r="X8" s="44">
        <v>4</v>
      </c>
      <c r="Y8" s="36"/>
      <c r="Z8" s="36"/>
      <c r="AA8" s="36"/>
      <c r="AB8" s="45"/>
      <c r="AC8" s="44">
        <v>5</v>
      </c>
      <c r="AD8" s="36"/>
      <c r="AE8" s="36"/>
      <c r="AF8" s="36"/>
      <c r="AG8" s="45"/>
      <c r="AH8" s="44">
        <v>6</v>
      </c>
      <c r="AI8" s="36"/>
      <c r="AJ8" s="36"/>
      <c r="AK8" s="36"/>
      <c r="AL8" s="45"/>
      <c r="AM8" s="44">
        <v>7</v>
      </c>
      <c r="AN8" s="36"/>
      <c r="AO8" s="36"/>
      <c r="AP8" s="36"/>
      <c r="AQ8" s="45"/>
      <c r="AR8" s="44">
        <v>8</v>
      </c>
      <c r="AS8" s="36"/>
      <c r="AT8" s="36"/>
      <c r="AU8" s="36"/>
      <c r="AV8" s="45"/>
      <c r="AW8" s="44">
        <v>9</v>
      </c>
      <c r="AX8" s="36"/>
      <c r="AY8" s="36"/>
      <c r="AZ8" s="36"/>
      <c r="BA8" s="45"/>
      <c r="BB8" s="44">
        <v>10</v>
      </c>
      <c r="BC8" s="36"/>
      <c r="BD8" s="36"/>
      <c r="BE8" s="36"/>
      <c r="BF8" s="45"/>
      <c r="BG8" s="44">
        <v>11</v>
      </c>
      <c r="BH8" s="36"/>
      <c r="BI8" s="36"/>
      <c r="BJ8" s="36"/>
      <c r="BK8" s="45"/>
      <c r="BL8" s="44">
        <v>12</v>
      </c>
      <c r="BM8" s="36"/>
      <c r="BN8" s="36"/>
      <c r="BO8" s="36"/>
      <c r="BP8" s="45"/>
      <c r="BT8" s="37" t="s">
        <v>4</v>
      </c>
      <c r="BU8" s="37"/>
      <c r="BV8" s="37"/>
      <c r="BW8" s="37"/>
      <c r="BX8" s="37"/>
      <c r="BY8" s="38">
        <f>SUM(N10+S10+X10+AC10+AH10+AM10+AR10+AW10+BB10+BG10+BG15+BG20+BG25+BB25+AW25+AR25+AM25+AH25+AC25+X25+S25+N25+N20+N15+S15+X15+AC15+AH15+AM15+AR15+AW15+BB15+BB20+AW20+AR20+AM20+AH20+AC20+X20+S20)/40</f>
        <v>98.64522222222223</v>
      </c>
      <c r="BZ8" s="38"/>
      <c r="CA8" s="38"/>
      <c r="CB8" s="38"/>
      <c r="CC8" s="38"/>
      <c r="CD8" s="38">
        <f>100-BY8</f>
        <v>1.3547777777777696</v>
      </c>
      <c r="CE8" s="76"/>
      <c r="CF8" s="76"/>
      <c r="CG8" s="76"/>
      <c r="CH8" s="76"/>
    </row>
    <row r="9" spans="5:86" x14ac:dyDescent="0.25">
      <c r="E9" s="6"/>
      <c r="F9" s="5"/>
      <c r="H9" s="59"/>
      <c r="I9" s="46"/>
      <c r="J9" s="47"/>
      <c r="K9" s="47"/>
      <c r="L9" s="47"/>
      <c r="M9" s="48"/>
      <c r="N9" s="46"/>
      <c r="O9" s="47"/>
      <c r="P9" s="47"/>
      <c r="Q9" s="47"/>
      <c r="R9" s="48"/>
      <c r="S9" s="46"/>
      <c r="T9" s="47"/>
      <c r="U9" s="47"/>
      <c r="V9" s="47"/>
      <c r="W9" s="48"/>
      <c r="X9" s="46"/>
      <c r="Y9" s="47"/>
      <c r="Z9" s="47"/>
      <c r="AA9" s="47"/>
      <c r="AB9" s="48"/>
      <c r="AC9" s="46"/>
      <c r="AD9" s="47"/>
      <c r="AE9" s="47"/>
      <c r="AF9" s="47"/>
      <c r="AG9" s="48"/>
      <c r="AH9" s="46"/>
      <c r="AI9" s="47"/>
      <c r="AJ9" s="47"/>
      <c r="AK9" s="47"/>
      <c r="AL9" s="48"/>
      <c r="AM9" s="46"/>
      <c r="AN9" s="47"/>
      <c r="AO9" s="47"/>
      <c r="AP9" s="47"/>
      <c r="AQ9" s="48"/>
      <c r="AR9" s="46"/>
      <c r="AS9" s="47"/>
      <c r="AT9" s="47"/>
      <c r="AU9" s="47"/>
      <c r="AV9" s="48"/>
      <c r="AW9" s="46"/>
      <c r="AX9" s="47"/>
      <c r="AY9" s="47"/>
      <c r="AZ9" s="47"/>
      <c r="BA9" s="48"/>
      <c r="BB9" s="46"/>
      <c r="BC9" s="47"/>
      <c r="BD9" s="47"/>
      <c r="BE9" s="47"/>
      <c r="BF9" s="48"/>
      <c r="BG9" s="46"/>
      <c r="BH9" s="47"/>
      <c r="BI9" s="47"/>
      <c r="BJ9" s="47"/>
      <c r="BK9" s="48"/>
      <c r="BL9" s="46"/>
      <c r="BM9" s="47"/>
      <c r="BN9" s="47"/>
      <c r="BO9" s="47"/>
      <c r="BP9" s="48"/>
      <c r="BT9" s="37"/>
      <c r="BU9" s="37"/>
      <c r="BV9" s="37"/>
      <c r="BW9" s="37"/>
      <c r="BX9" s="37"/>
      <c r="BY9" s="38"/>
      <c r="BZ9" s="38"/>
      <c r="CA9" s="38"/>
      <c r="CB9" s="38"/>
      <c r="CC9" s="38"/>
      <c r="CD9" s="76"/>
      <c r="CE9" s="76"/>
      <c r="CF9" s="76"/>
      <c r="CG9" s="76"/>
      <c r="CH9" s="76"/>
    </row>
    <row r="10" spans="5:86" x14ac:dyDescent="0.25">
      <c r="E10" s="6"/>
      <c r="F10" s="5"/>
      <c r="H10" s="59">
        <v>10</v>
      </c>
      <c r="I10" s="39">
        <f>100-1.25</f>
        <v>98.75</v>
      </c>
      <c r="J10" s="40"/>
      <c r="K10" s="40"/>
      <c r="L10" s="40"/>
      <c r="M10" s="41"/>
      <c r="N10" s="39">
        <f>SUM(I10+I5+N5)/3-0.03</f>
        <v>98.686666666666653</v>
      </c>
      <c r="O10" s="40"/>
      <c r="P10" s="40"/>
      <c r="Q10" s="40"/>
      <c r="R10" s="41"/>
      <c r="S10" s="39">
        <f>S5-0.03</f>
        <v>98.69</v>
      </c>
      <c r="T10" s="40"/>
      <c r="U10" s="40"/>
      <c r="V10" s="40"/>
      <c r="W10" s="41"/>
      <c r="X10" s="39">
        <f t="shared" ref="X10" si="0">X5-0.03</f>
        <v>98.71</v>
      </c>
      <c r="Y10" s="40"/>
      <c r="Z10" s="40"/>
      <c r="AA10" s="40"/>
      <c r="AB10" s="41"/>
      <c r="AC10" s="39">
        <f t="shared" ref="AC10" si="1">AC5-0.03</f>
        <v>98.71</v>
      </c>
      <c r="AD10" s="40"/>
      <c r="AE10" s="40"/>
      <c r="AF10" s="40"/>
      <c r="AG10" s="41"/>
      <c r="AH10" s="39">
        <f t="shared" ref="AH10" si="2">AH5-0.03</f>
        <v>98.69</v>
      </c>
      <c r="AI10" s="40"/>
      <c r="AJ10" s="40"/>
      <c r="AK10" s="40"/>
      <c r="AL10" s="41"/>
      <c r="AM10" s="39">
        <f t="shared" ref="AM10" si="3">AM5-0.03</f>
        <v>98.62</v>
      </c>
      <c r="AN10" s="40"/>
      <c r="AO10" s="40"/>
      <c r="AP10" s="40"/>
      <c r="AQ10" s="41"/>
      <c r="AR10" s="39">
        <f t="shared" ref="AR10" si="4">AR5-0.03</f>
        <v>98.65</v>
      </c>
      <c r="AS10" s="40"/>
      <c r="AT10" s="40"/>
      <c r="AU10" s="40"/>
      <c r="AV10" s="41"/>
      <c r="AW10" s="39">
        <f t="shared" ref="AW10" si="5">AW5-0.03</f>
        <v>98.65</v>
      </c>
      <c r="AX10" s="40"/>
      <c r="AY10" s="40"/>
      <c r="AZ10" s="40"/>
      <c r="BA10" s="41"/>
      <c r="BB10" s="39">
        <f t="shared" ref="BB10" si="6">BB5-0.03</f>
        <v>98.65</v>
      </c>
      <c r="BC10" s="40"/>
      <c r="BD10" s="40"/>
      <c r="BE10" s="40"/>
      <c r="BF10" s="41"/>
      <c r="BG10" s="39">
        <f>SUM(BG5+BL5+BL10)/3-0.03</f>
        <v>98.646666666666661</v>
      </c>
      <c r="BH10" s="40"/>
      <c r="BI10" s="40"/>
      <c r="BJ10" s="40"/>
      <c r="BK10" s="41"/>
      <c r="BL10" s="39">
        <f>100-1.34</f>
        <v>98.66</v>
      </c>
      <c r="BM10" s="40"/>
      <c r="BN10" s="40"/>
      <c r="BO10" s="40"/>
      <c r="BP10" s="41"/>
      <c r="BT10" s="49" t="s">
        <v>5</v>
      </c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1"/>
    </row>
    <row r="11" spans="5:86" x14ac:dyDescent="0.25">
      <c r="E11" s="6"/>
      <c r="F11" s="5"/>
      <c r="H11" s="59"/>
      <c r="I11" s="42"/>
      <c r="J11" s="32"/>
      <c r="K11" s="32"/>
      <c r="L11" s="32"/>
      <c r="M11" s="43"/>
      <c r="N11" s="42"/>
      <c r="O11" s="32"/>
      <c r="P11" s="32"/>
      <c r="Q11" s="32"/>
      <c r="R11" s="43"/>
      <c r="S11" s="42"/>
      <c r="T11" s="32"/>
      <c r="U11" s="32"/>
      <c r="V11" s="32"/>
      <c r="W11" s="43"/>
      <c r="X11" s="42"/>
      <c r="Y11" s="32"/>
      <c r="Z11" s="32"/>
      <c r="AA11" s="32"/>
      <c r="AB11" s="43"/>
      <c r="AC11" s="42"/>
      <c r="AD11" s="32"/>
      <c r="AE11" s="32"/>
      <c r="AF11" s="32"/>
      <c r="AG11" s="43"/>
      <c r="AH11" s="42"/>
      <c r="AI11" s="32"/>
      <c r="AJ11" s="32"/>
      <c r="AK11" s="32"/>
      <c r="AL11" s="43"/>
      <c r="AM11" s="42"/>
      <c r="AN11" s="32"/>
      <c r="AO11" s="32"/>
      <c r="AP11" s="32"/>
      <c r="AQ11" s="43"/>
      <c r="AR11" s="42"/>
      <c r="AS11" s="32"/>
      <c r="AT11" s="32"/>
      <c r="AU11" s="32"/>
      <c r="AV11" s="43"/>
      <c r="AW11" s="42"/>
      <c r="AX11" s="32"/>
      <c r="AY11" s="32"/>
      <c r="AZ11" s="32"/>
      <c r="BA11" s="43"/>
      <c r="BB11" s="42"/>
      <c r="BC11" s="32"/>
      <c r="BD11" s="32"/>
      <c r="BE11" s="32"/>
      <c r="BF11" s="43"/>
      <c r="BG11" s="42"/>
      <c r="BH11" s="32"/>
      <c r="BI11" s="32"/>
      <c r="BJ11" s="32"/>
      <c r="BK11" s="43"/>
      <c r="BL11" s="42"/>
      <c r="BM11" s="32"/>
      <c r="BN11" s="32"/>
      <c r="BO11" s="32"/>
      <c r="BP11" s="43"/>
      <c r="BT11" s="52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4"/>
    </row>
    <row r="12" spans="5:86" x14ac:dyDescent="0.25">
      <c r="E12" s="6"/>
      <c r="F12" s="5"/>
      <c r="H12" s="59"/>
      <c r="I12" s="42"/>
      <c r="J12" s="32"/>
      <c r="K12" s="32"/>
      <c r="L12" s="32"/>
      <c r="M12" s="43"/>
      <c r="N12" s="42"/>
      <c r="O12" s="32"/>
      <c r="P12" s="32"/>
      <c r="Q12" s="32"/>
      <c r="R12" s="43"/>
      <c r="S12" s="42"/>
      <c r="T12" s="32"/>
      <c r="U12" s="32"/>
      <c r="V12" s="32"/>
      <c r="W12" s="43"/>
      <c r="X12" s="42"/>
      <c r="Y12" s="32"/>
      <c r="Z12" s="32"/>
      <c r="AA12" s="32"/>
      <c r="AB12" s="43"/>
      <c r="AC12" s="42"/>
      <c r="AD12" s="32"/>
      <c r="AE12" s="32"/>
      <c r="AF12" s="32"/>
      <c r="AG12" s="43"/>
      <c r="AH12" s="42"/>
      <c r="AI12" s="32"/>
      <c r="AJ12" s="32"/>
      <c r="AK12" s="32"/>
      <c r="AL12" s="43"/>
      <c r="AM12" s="42"/>
      <c r="AN12" s="32"/>
      <c r="AO12" s="32"/>
      <c r="AP12" s="32"/>
      <c r="AQ12" s="43"/>
      <c r="AR12" s="42"/>
      <c r="AS12" s="32"/>
      <c r="AT12" s="32"/>
      <c r="AU12" s="32"/>
      <c r="AV12" s="43"/>
      <c r="AW12" s="42"/>
      <c r="AX12" s="32"/>
      <c r="AY12" s="32"/>
      <c r="AZ12" s="32"/>
      <c r="BA12" s="43"/>
      <c r="BB12" s="42"/>
      <c r="BC12" s="32"/>
      <c r="BD12" s="32"/>
      <c r="BE12" s="32"/>
      <c r="BF12" s="43"/>
      <c r="BG12" s="42"/>
      <c r="BH12" s="32"/>
      <c r="BI12" s="32"/>
      <c r="BJ12" s="32"/>
      <c r="BK12" s="43"/>
      <c r="BL12" s="42"/>
      <c r="BM12" s="32"/>
      <c r="BN12" s="32"/>
      <c r="BO12" s="32"/>
      <c r="BP12" s="43"/>
      <c r="BT12" s="52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4"/>
    </row>
    <row r="13" spans="5:86" x14ac:dyDescent="0.25">
      <c r="E13" s="6"/>
      <c r="F13" s="5"/>
      <c r="H13" s="59"/>
      <c r="I13" s="44">
        <v>32</v>
      </c>
      <c r="J13" s="36"/>
      <c r="K13" s="36"/>
      <c r="L13" s="36"/>
      <c r="M13" s="45"/>
      <c r="N13" s="44">
        <v>33</v>
      </c>
      <c r="O13" s="36"/>
      <c r="P13" s="36"/>
      <c r="Q13" s="36"/>
      <c r="R13" s="45"/>
      <c r="S13" s="44">
        <v>34</v>
      </c>
      <c r="T13" s="36"/>
      <c r="U13" s="36"/>
      <c r="V13" s="36"/>
      <c r="W13" s="45"/>
      <c r="X13" s="44">
        <v>35</v>
      </c>
      <c r="Y13" s="36"/>
      <c r="Z13" s="36"/>
      <c r="AA13" s="36"/>
      <c r="AB13" s="45"/>
      <c r="AC13" s="44">
        <v>36</v>
      </c>
      <c r="AD13" s="36"/>
      <c r="AE13" s="36"/>
      <c r="AF13" s="36"/>
      <c r="AG13" s="45"/>
      <c r="AH13" s="44">
        <v>37</v>
      </c>
      <c r="AI13" s="36"/>
      <c r="AJ13" s="36"/>
      <c r="AK13" s="36"/>
      <c r="AL13" s="45"/>
      <c r="AM13" s="44">
        <v>38</v>
      </c>
      <c r="AN13" s="36"/>
      <c r="AO13" s="36"/>
      <c r="AP13" s="36"/>
      <c r="AQ13" s="45"/>
      <c r="AR13" s="44">
        <v>39</v>
      </c>
      <c r="AS13" s="36"/>
      <c r="AT13" s="36"/>
      <c r="AU13" s="36"/>
      <c r="AV13" s="45"/>
      <c r="AW13" s="44">
        <v>40</v>
      </c>
      <c r="AX13" s="36"/>
      <c r="AY13" s="36"/>
      <c r="AZ13" s="36"/>
      <c r="BA13" s="45"/>
      <c r="BB13" s="44">
        <v>41</v>
      </c>
      <c r="BC13" s="36"/>
      <c r="BD13" s="36"/>
      <c r="BE13" s="36"/>
      <c r="BF13" s="45"/>
      <c r="BG13" s="44">
        <v>42</v>
      </c>
      <c r="BH13" s="36"/>
      <c r="BI13" s="36"/>
      <c r="BJ13" s="36"/>
      <c r="BK13" s="45"/>
      <c r="BL13" s="44">
        <v>13</v>
      </c>
      <c r="BM13" s="36"/>
      <c r="BN13" s="36"/>
      <c r="BO13" s="36"/>
      <c r="BP13" s="45"/>
      <c r="BT13" s="52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4"/>
    </row>
    <row r="14" spans="5:86" x14ac:dyDescent="0.25">
      <c r="E14" s="6"/>
      <c r="F14" s="5"/>
      <c r="H14" s="59"/>
      <c r="I14" s="46"/>
      <c r="J14" s="47"/>
      <c r="K14" s="47"/>
      <c r="L14" s="47"/>
      <c r="M14" s="48"/>
      <c r="N14" s="46"/>
      <c r="O14" s="47"/>
      <c r="P14" s="47"/>
      <c r="Q14" s="47"/>
      <c r="R14" s="48"/>
      <c r="S14" s="46"/>
      <c r="T14" s="47"/>
      <c r="U14" s="47"/>
      <c r="V14" s="47"/>
      <c r="W14" s="48"/>
      <c r="X14" s="46"/>
      <c r="Y14" s="47"/>
      <c r="Z14" s="47"/>
      <c r="AA14" s="47"/>
      <c r="AB14" s="48"/>
      <c r="AC14" s="46"/>
      <c r="AD14" s="47"/>
      <c r="AE14" s="47"/>
      <c r="AF14" s="47"/>
      <c r="AG14" s="48"/>
      <c r="AH14" s="46"/>
      <c r="AI14" s="47"/>
      <c r="AJ14" s="47"/>
      <c r="AK14" s="47"/>
      <c r="AL14" s="48"/>
      <c r="AM14" s="46"/>
      <c r="AN14" s="47"/>
      <c r="AO14" s="47"/>
      <c r="AP14" s="47"/>
      <c r="AQ14" s="48"/>
      <c r="AR14" s="46"/>
      <c r="AS14" s="47"/>
      <c r="AT14" s="47"/>
      <c r="AU14" s="47"/>
      <c r="AV14" s="48"/>
      <c r="AW14" s="46"/>
      <c r="AX14" s="47"/>
      <c r="AY14" s="47"/>
      <c r="AZ14" s="47"/>
      <c r="BA14" s="48"/>
      <c r="BB14" s="46"/>
      <c r="BC14" s="47"/>
      <c r="BD14" s="47"/>
      <c r="BE14" s="47"/>
      <c r="BF14" s="48"/>
      <c r="BG14" s="46"/>
      <c r="BH14" s="47"/>
      <c r="BI14" s="47"/>
      <c r="BJ14" s="47"/>
      <c r="BK14" s="48"/>
      <c r="BL14" s="46"/>
      <c r="BM14" s="47"/>
      <c r="BN14" s="47"/>
      <c r="BO14" s="47"/>
      <c r="BP14" s="48"/>
      <c r="BT14" s="52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4"/>
    </row>
    <row r="15" spans="5:86" x14ac:dyDescent="0.25">
      <c r="E15" s="6"/>
      <c r="F15" s="5"/>
      <c r="H15" s="59">
        <v>10</v>
      </c>
      <c r="I15" s="39">
        <f>100-1.38</f>
        <v>98.62</v>
      </c>
      <c r="J15" s="40"/>
      <c r="K15" s="40"/>
      <c r="L15" s="40"/>
      <c r="M15" s="41"/>
      <c r="N15" s="39">
        <f>I15-0.03</f>
        <v>98.59</v>
      </c>
      <c r="O15" s="40"/>
      <c r="P15" s="40"/>
      <c r="Q15" s="40"/>
      <c r="R15" s="41"/>
      <c r="S15" s="39">
        <f>SUM(N15+N10+S10)/3-0.03</f>
        <v>98.62555555555555</v>
      </c>
      <c r="T15" s="40"/>
      <c r="U15" s="40"/>
      <c r="V15" s="40"/>
      <c r="W15" s="41"/>
      <c r="X15" s="39">
        <f>X10-0.03</f>
        <v>98.679999999999993</v>
      </c>
      <c r="Y15" s="40"/>
      <c r="Z15" s="40"/>
      <c r="AA15" s="40"/>
      <c r="AB15" s="41"/>
      <c r="AC15" s="39">
        <f>AC10-0.02</f>
        <v>98.69</v>
      </c>
      <c r="AD15" s="40"/>
      <c r="AE15" s="40"/>
      <c r="AF15" s="40"/>
      <c r="AG15" s="41"/>
      <c r="AH15" s="39">
        <f t="shared" ref="AH15" si="7">AH10-0.03</f>
        <v>98.66</v>
      </c>
      <c r="AI15" s="40"/>
      <c r="AJ15" s="40"/>
      <c r="AK15" s="40"/>
      <c r="AL15" s="41"/>
      <c r="AM15" s="39">
        <f t="shared" ref="AM15" si="8">AM10-0.03</f>
        <v>98.59</v>
      </c>
      <c r="AN15" s="40"/>
      <c r="AO15" s="40"/>
      <c r="AP15" s="40"/>
      <c r="AQ15" s="41"/>
      <c r="AR15" s="39">
        <f t="shared" ref="AR15" si="9">AR10-0.03</f>
        <v>98.62</v>
      </c>
      <c r="AS15" s="40"/>
      <c r="AT15" s="40"/>
      <c r="AU15" s="40"/>
      <c r="AV15" s="41"/>
      <c r="AW15" s="39">
        <f>AW10-0.02</f>
        <v>98.63000000000001</v>
      </c>
      <c r="AX15" s="40"/>
      <c r="AY15" s="40"/>
      <c r="AZ15" s="40"/>
      <c r="BA15" s="41"/>
      <c r="BB15" s="39">
        <f>SUM(BB10+BG10+BG15)/3-0.03</f>
        <v>98.625555555555565</v>
      </c>
      <c r="BC15" s="40"/>
      <c r="BD15" s="40"/>
      <c r="BE15" s="40"/>
      <c r="BF15" s="41"/>
      <c r="BG15" s="39">
        <f>BL15-0.03</f>
        <v>98.67</v>
      </c>
      <c r="BH15" s="40"/>
      <c r="BI15" s="40"/>
      <c r="BJ15" s="40"/>
      <c r="BK15" s="41"/>
      <c r="BL15" s="39">
        <f>100-1.3</f>
        <v>98.7</v>
      </c>
      <c r="BM15" s="40"/>
      <c r="BN15" s="40"/>
      <c r="BO15" s="40"/>
      <c r="BP15" s="41"/>
      <c r="BT15" s="52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4"/>
    </row>
    <row r="16" spans="5:86" x14ac:dyDescent="0.25">
      <c r="E16" s="6"/>
      <c r="F16" s="5"/>
      <c r="H16" s="59"/>
      <c r="I16" s="42"/>
      <c r="J16" s="32"/>
      <c r="K16" s="32"/>
      <c r="L16" s="32"/>
      <c r="M16" s="43"/>
      <c r="N16" s="42"/>
      <c r="O16" s="32"/>
      <c r="P16" s="32"/>
      <c r="Q16" s="32"/>
      <c r="R16" s="43"/>
      <c r="S16" s="42"/>
      <c r="T16" s="32"/>
      <c r="U16" s="32"/>
      <c r="V16" s="32"/>
      <c r="W16" s="43"/>
      <c r="X16" s="42"/>
      <c r="Y16" s="32"/>
      <c r="Z16" s="32"/>
      <c r="AA16" s="32"/>
      <c r="AB16" s="43"/>
      <c r="AC16" s="42"/>
      <c r="AD16" s="32"/>
      <c r="AE16" s="32"/>
      <c r="AF16" s="32"/>
      <c r="AG16" s="43"/>
      <c r="AH16" s="42"/>
      <c r="AI16" s="32"/>
      <c r="AJ16" s="32"/>
      <c r="AK16" s="32"/>
      <c r="AL16" s="43"/>
      <c r="AM16" s="42"/>
      <c r="AN16" s="32"/>
      <c r="AO16" s="32"/>
      <c r="AP16" s="32"/>
      <c r="AQ16" s="43"/>
      <c r="AR16" s="42"/>
      <c r="AS16" s="32"/>
      <c r="AT16" s="32"/>
      <c r="AU16" s="32"/>
      <c r="AV16" s="43"/>
      <c r="AW16" s="42"/>
      <c r="AX16" s="32"/>
      <c r="AY16" s="32"/>
      <c r="AZ16" s="32"/>
      <c r="BA16" s="43"/>
      <c r="BB16" s="42"/>
      <c r="BC16" s="32"/>
      <c r="BD16" s="32"/>
      <c r="BE16" s="32"/>
      <c r="BF16" s="43"/>
      <c r="BG16" s="42"/>
      <c r="BH16" s="32"/>
      <c r="BI16" s="32"/>
      <c r="BJ16" s="32"/>
      <c r="BK16" s="43"/>
      <c r="BL16" s="42"/>
      <c r="BM16" s="32"/>
      <c r="BN16" s="32"/>
      <c r="BO16" s="32"/>
      <c r="BP16" s="43"/>
      <c r="BT16" s="52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4"/>
    </row>
    <row r="17" spans="4:86" x14ac:dyDescent="0.25">
      <c r="E17" s="6"/>
      <c r="F17" s="5"/>
      <c r="H17" s="59"/>
      <c r="I17" s="42"/>
      <c r="J17" s="32"/>
      <c r="K17" s="32"/>
      <c r="L17" s="32"/>
      <c r="M17" s="43"/>
      <c r="N17" s="42"/>
      <c r="O17" s="32"/>
      <c r="P17" s="32"/>
      <c r="Q17" s="32"/>
      <c r="R17" s="43"/>
      <c r="S17" s="42"/>
      <c r="T17" s="32"/>
      <c r="U17" s="32"/>
      <c r="V17" s="32"/>
      <c r="W17" s="43"/>
      <c r="X17" s="42"/>
      <c r="Y17" s="32"/>
      <c r="Z17" s="32"/>
      <c r="AA17" s="32"/>
      <c r="AB17" s="43"/>
      <c r="AC17" s="42"/>
      <c r="AD17" s="32"/>
      <c r="AE17" s="32"/>
      <c r="AF17" s="32"/>
      <c r="AG17" s="43"/>
      <c r="AH17" s="42"/>
      <c r="AI17" s="32"/>
      <c r="AJ17" s="32"/>
      <c r="AK17" s="32"/>
      <c r="AL17" s="43"/>
      <c r="AM17" s="42"/>
      <c r="AN17" s="32"/>
      <c r="AO17" s="32"/>
      <c r="AP17" s="32"/>
      <c r="AQ17" s="43"/>
      <c r="AR17" s="42"/>
      <c r="AS17" s="32"/>
      <c r="AT17" s="32"/>
      <c r="AU17" s="32"/>
      <c r="AV17" s="43"/>
      <c r="AW17" s="42"/>
      <c r="AX17" s="32"/>
      <c r="AY17" s="32"/>
      <c r="AZ17" s="32"/>
      <c r="BA17" s="43"/>
      <c r="BB17" s="42"/>
      <c r="BC17" s="32"/>
      <c r="BD17" s="32"/>
      <c r="BE17" s="32"/>
      <c r="BF17" s="43"/>
      <c r="BG17" s="42"/>
      <c r="BH17" s="32"/>
      <c r="BI17" s="32"/>
      <c r="BJ17" s="32"/>
      <c r="BK17" s="43"/>
      <c r="BL17" s="42"/>
      <c r="BM17" s="32"/>
      <c r="BN17" s="32"/>
      <c r="BO17" s="32"/>
      <c r="BP17" s="43"/>
      <c r="BT17" s="52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4"/>
    </row>
    <row r="18" spans="4:86" x14ac:dyDescent="0.25">
      <c r="E18" s="6"/>
      <c r="F18" s="5"/>
      <c r="H18" s="59"/>
      <c r="I18" s="44">
        <v>31</v>
      </c>
      <c r="J18" s="36"/>
      <c r="K18" s="36"/>
      <c r="L18" s="36"/>
      <c r="M18" s="45"/>
      <c r="N18" s="44">
        <v>56</v>
      </c>
      <c r="O18" s="36"/>
      <c r="P18" s="36"/>
      <c r="Q18" s="36"/>
      <c r="R18" s="45"/>
      <c r="S18" s="44">
        <v>57</v>
      </c>
      <c r="T18" s="36"/>
      <c r="U18" s="36"/>
      <c r="V18" s="36"/>
      <c r="W18" s="45"/>
      <c r="X18" s="44">
        <v>58</v>
      </c>
      <c r="Y18" s="36"/>
      <c r="Z18" s="36"/>
      <c r="AA18" s="36"/>
      <c r="AB18" s="45"/>
      <c r="AC18" s="44">
        <v>59</v>
      </c>
      <c r="AD18" s="36"/>
      <c r="AE18" s="36"/>
      <c r="AF18" s="36"/>
      <c r="AG18" s="45"/>
      <c r="AH18" s="44">
        <v>60</v>
      </c>
      <c r="AI18" s="36"/>
      <c r="AJ18" s="36"/>
      <c r="AK18" s="36"/>
      <c r="AL18" s="45"/>
      <c r="AM18" s="44">
        <v>61</v>
      </c>
      <c r="AN18" s="36"/>
      <c r="AO18" s="36"/>
      <c r="AP18" s="36"/>
      <c r="AQ18" s="45"/>
      <c r="AR18" s="44">
        <v>62</v>
      </c>
      <c r="AS18" s="36"/>
      <c r="AT18" s="36"/>
      <c r="AU18" s="36"/>
      <c r="AV18" s="45"/>
      <c r="AW18" s="44">
        <v>63</v>
      </c>
      <c r="AX18" s="36"/>
      <c r="AY18" s="36"/>
      <c r="AZ18" s="36"/>
      <c r="BA18" s="45"/>
      <c r="BB18" s="44">
        <v>64</v>
      </c>
      <c r="BC18" s="36"/>
      <c r="BD18" s="36"/>
      <c r="BE18" s="36"/>
      <c r="BF18" s="45"/>
      <c r="BG18" s="44">
        <v>43</v>
      </c>
      <c r="BH18" s="36"/>
      <c r="BI18" s="36"/>
      <c r="BJ18" s="36"/>
      <c r="BK18" s="45"/>
      <c r="BL18" s="44">
        <v>14</v>
      </c>
      <c r="BM18" s="36"/>
      <c r="BN18" s="36"/>
      <c r="BO18" s="36"/>
      <c r="BP18" s="45"/>
      <c r="BT18" s="52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4"/>
    </row>
    <row r="19" spans="4:86" x14ac:dyDescent="0.25">
      <c r="D19" s="32">
        <f>SUM(H5:H34)</f>
        <v>60</v>
      </c>
      <c r="E19" s="36"/>
      <c r="F19" s="36"/>
      <c r="G19" s="36"/>
      <c r="H19" s="59"/>
      <c r="I19" s="46"/>
      <c r="J19" s="47"/>
      <c r="K19" s="47"/>
      <c r="L19" s="47"/>
      <c r="M19" s="48"/>
      <c r="N19" s="46"/>
      <c r="O19" s="47"/>
      <c r="P19" s="47"/>
      <c r="Q19" s="47"/>
      <c r="R19" s="48"/>
      <c r="S19" s="46"/>
      <c r="T19" s="47"/>
      <c r="U19" s="47"/>
      <c r="V19" s="47"/>
      <c r="W19" s="48"/>
      <c r="X19" s="46"/>
      <c r="Y19" s="47"/>
      <c r="Z19" s="47"/>
      <c r="AA19" s="47"/>
      <c r="AB19" s="48"/>
      <c r="AC19" s="46"/>
      <c r="AD19" s="47"/>
      <c r="AE19" s="47"/>
      <c r="AF19" s="47"/>
      <c r="AG19" s="48"/>
      <c r="AH19" s="46"/>
      <c r="AI19" s="47"/>
      <c r="AJ19" s="47"/>
      <c r="AK19" s="47"/>
      <c r="AL19" s="48"/>
      <c r="AM19" s="46"/>
      <c r="AN19" s="47"/>
      <c r="AO19" s="47"/>
      <c r="AP19" s="47"/>
      <c r="AQ19" s="48"/>
      <c r="AR19" s="46"/>
      <c r="AS19" s="47"/>
      <c r="AT19" s="47"/>
      <c r="AU19" s="47"/>
      <c r="AV19" s="48"/>
      <c r="AW19" s="46"/>
      <c r="AX19" s="47"/>
      <c r="AY19" s="47"/>
      <c r="AZ19" s="47"/>
      <c r="BA19" s="48"/>
      <c r="BB19" s="46"/>
      <c r="BC19" s="47"/>
      <c r="BD19" s="47"/>
      <c r="BE19" s="47"/>
      <c r="BF19" s="48"/>
      <c r="BG19" s="46"/>
      <c r="BH19" s="47"/>
      <c r="BI19" s="47"/>
      <c r="BJ19" s="47"/>
      <c r="BK19" s="48"/>
      <c r="BL19" s="46"/>
      <c r="BM19" s="47"/>
      <c r="BN19" s="47"/>
      <c r="BO19" s="47"/>
      <c r="BP19" s="48"/>
      <c r="BT19" s="55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7"/>
    </row>
    <row r="20" spans="4:86" x14ac:dyDescent="0.25">
      <c r="D20" s="36"/>
      <c r="E20" s="36"/>
      <c r="F20" s="36"/>
      <c r="G20" s="36"/>
      <c r="H20" s="59">
        <v>10</v>
      </c>
      <c r="I20" s="39">
        <f>100-1.33</f>
        <v>98.67</v>
      </c>
      <c r="J20" s="40"/>
      <c r="K20" s="40"/>
      <c r="L20" s="40"/>
      <c r="M20" s="41"/>
      <c r="N20" s="39">
        <f>I20-0.03</f>
        <v>98.64</v>
      </c>
      <c r="O20" s="40"/>
      <c r="P20" s="40"/>
      <c r="Q20" s="40"/>
      <c r="R20" s="41"/>
      <c r="S20" s="39">
        <f>SUM(S25+N25+N20)/3-0.03</f>
        <v>98.656666666666666</v>
      </c>
      <c r="T20" s="40"/>
      <c r="U20" s="40"/>
      <c r="V20" s="40"/>
      <c r="W20" s="41"/>
      <c r="X20" s="39">
        <f>X25-0.03</f>
        <v>98.59</v>
      </c>
      <c r="Y20" s="40"/>
      <c r="Z20" s="40"/>
      <c r="AA20" s="40"/>
      <c r="AB20" s="41"/>
      <c r="AC20" s="39">
        <f>AC25-0.03</f>
        <v>98.570000000000007</v>
      </c>
      <c r="AD20" s="40"/>
      <c r="AE20" s="40"/>
      <c r="AF20" s="40"/>
      <c r="AG20" s="41"/>
      <c r="AH20" s="39">
        <f>AH25-0.03</f>
        <v>98.58</v>
      </c>
      <c r="AI20" s="40"/>
      <c r="AJ20" s="40"/>
      <c r="AK20" s="40"/>
      <c r="AL20" s="41"/>
      <c r="AM20" s="39">
        <f>AM25-0.01</f>
        <v>98.61</v>
      </c>
      <c r="AN20" s="40"/>
      <c r="AO20" s="40"/>
      <c r="AP20" s="40"/>
      <c r="AQ20" s="41"/>
      <c r="AR20" s="39">
        <f>AR25-0.03</f>
        <v>98.59</v>
      </c>
      <c r="AS20" s="40"/>
      <c r="AT20" s="40"/>
      <c r="AU20" s="40"/>
      <c r="AV20" s="41"/>
      <c r="AW20" s="39">
        <f>AW25-0.01</f>
        <v>98.62</v>
      </c>
      <c r="AX20" s="40"/>
      <c r="AY20" s="40"/>
      <c r="AZ20" s="40"/>
      <c r="BA20" s="41"/>
      <c r="BB20" s="39">
        <f>SUM(BB25+BG25+BG20)/3-0.03</f>
        <v>98.664444444444456</v>
      </c>
      <c r="BC20" s="40"/>
      <c r="BD20" s="40"/>
      <c r="BE20" s="40"/>
      <c r="BF20" s="41"/>
      <c r="BG20" s="39">
        <f>BL20-0.03</f>
        <v>98.72</v>
      </c>
      <c r="BH20" s="40"/>
      <c r="BI20" s="40"/>
      <c r="BJ20" s="40"/>
      <c r="BK20" s="41"/>
      <c r="BL20" s="39">
        <f>100-1.25</f>
        <v>98.75</v>
      </c>
      <c r="BM20" s="40"/>
      <c r="BN20" s="40"/>
      <c r="BO20" s="40"/>
      <c r="BP20" s="41"/>
      <c r="BT20" s="49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1"/>
    </row>
    <row r="21" spans="4:86" x14ac:dyDescent="0.25">
      <c r="E21" s="6"/>
      <c r="F21" s="5"/>
      <c r="H21" s="59"/>
      <c r="I21" s="42"/>
      <c r="J21" s="32"/>
      <c r="K21" s="32"/>
      <c r="L21" s="32"/>
      <c r="M21" s="43"/>
      <c r="N21" s="42"/>
      <c r="O21" s="32"/>
      <c r="P21" s="32"/>
      <c r="Q21" s="32"/>
      <c r="R21" s="43"/>
      <c r="S21" s="42"/>
      <c r="T21" s="32"/>
      <c r="U21" s="32"/>
      <c r="V21" s="32"/>
      <c r="W21" s="43"/>
      <c r="X21" s="42"/>
      <c r="Y21" s="32"/>
      <c r="Z21" s="32"/>
      <c r="AA21" s="32"/>
      <c r="AB21" s="43"/>
      <c r="AC21" s="42"/>
      <c r="AD21" s="32"/>
      <c r="AE21" s="32"/>
      <c r="AF21" s="32"/>
      <c r="AG21" s="43"/>
      <c r="AH21" s="42"/>
      <c r="AI21" s="32"/>
      <c r="AJ21" s="32"/>
      <c r="AK21" s="32"/>
      <c r="AL21" s="43"/>
      <c r="AM21" s="42"/>
      <c r="AN21" s="32"/>
      <c r="AO21" s="32"/>
      <c r="AP21" s="32"/>
      <c r="AQ21" s="43"/>
      <c r="AR21" s="42"/>
      <c r="AS21" s="32"/>
      <c r="AT21" s="32"/>
      <c r="AU21" s="32"/>
      <c r="AV21" s="43"/>
      <c r="AW21" s="42"/>
      <c r="AX21" s="32"/>
      <c r="AY21" s="32"/>
      <c r="AZ21" s="32"/>
      <c r="BA21" s="43"/>
      <c r="BB21" s="42"/>
      <c r="BC21" s="32"/>
      <c r="BD21" s="32"/>
      <c r="BE21" s="32"/>
      <c r="BF21" s="43"/>
      <c r="BG21" s="42"/>
      <c r="BH21" s="32"/>
      <c r="BI21" s="32"/>
      <c r="BJ21" s="32"/>
      <c r="BK21" s="43"/>
      <c r="BL21" s="42"/>
      <c r="BM21" s="32"/>
      <c r="BN21" s="32"/>
      <c r="BO21" s="32"/>
      <c r="BP21" s="43"/>
      <c r="BT21" s="52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4"/>
    </row>
    <row r="22" spans="4:86" x14ac:dyDescent="0.25">
      <c r="E22" s="6"/>
      <c r="F22" s="5"/>
      <c r="H22" s="59"/>
      <c r="I22" s="42"/>
      <c r="J22" s="32"/>
      <c r="K22" s="32"/>
      <c r="L22" s="32"/>
      <c r="M22" s="43"/>
      <c r="N22" s="42"/>
      <c r="O22" s="32"/>
      <c r="P22" s="32"/>
      <c r="Q22" s="32"/>
      <c r="R22" s="43"/>
      <c r="S22" s="42"/>
      <c r="T22" s="32"/>
      <c r="U22" s="32"/>
      <c r="V22" s="32"/>
      <c r="W22" s="43"/>
      <c r="X22" s="42"/>
      <c r="Y22" s="32"/>
      <c r="Z22" s="32"/>
      <c r="AA22" s="32"/>
      <c r="AB22" s="43"/>
      <c r="AC22" s="42"/>
      <c r="AD22" s="32"/>
      <c r="AE22" s="32"/>
      <c r="AF22" s="32"/>
      <c r="AG22" s="43"/>
      <c r="AH22" s="42"/>
      <c r="AI22" s="32"/>
      <c r="AJ22" s="32"/>
      <c r="AK22" s="32"/>
      <c r="AL22" s="43"/>
      <c r="AM22" s="42"/>
      <c r="AN22" s="32"/>
      <c r="AO22" s="32"/>
      <c r="AP22" s="32"/>
      <c r="AQ22" s="43"/>
      <c r="AR22" s="42"/>
      <c r="AS22" s="32"/>
      <c r="AT22" s="32"/>
      <c r="AU22" s="32"/>
      <c r="AV22" s="43"/>
      <c r="AW22" s="42"/>
      <c r="AX22" s="32"/>
      <c r="AY22" s="32"/>
      <c r="AZ22" s="32"/>
      <c r="BA22" s="43"/>
      <c r="BB22" s="42"/>
      <c r="BC22" s="32"/>
      <c r="BD22" s="32"/>
      <c r="BE22" s="32"/>
      <c r="BF22" s="43"/>
      <c r="BG22" s="42"/>
      <c r="BH22" s="32"/>
      <c r="BI22" s="32"/>
      <c r="BJ22" s="32"/>
      <c r="BK22" s="43"/>
      <c r="BL22" s="42"/>
      <c r="BM22" s="32"/>
      <c r="BN22" s="32"/>
      <c r="BO22" s="32"/>
      <c r="BP22" s="43"/>
      <c r="BT22" s="52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4"/>
    </row>
    <row r="23" spans="4:86" x14ac:dyDescent="0.25">
      <c r="E23" s="6"/>
      <c r="F23" s="5"/>
      <c r="H23" s="59"/>
      <c r="I23" s="44">
        <v>30</v>
      </c>
      <c r="J23" s="36"/>
      <c r="K23" s="36"/>
      <c r="L23" s="36"/>
      <c r="M23" s="45"/>
      <c r="N23" s="44">
        <v>55</v>
      </c>
      <c r="O23" s="36"/>
      <c r="P23" s="36"/>
      <c r="Q23" s="36"/>
      <c r="R23" s="45"/>
      <c r="S23" s="44">
        <v>72</v>
      </c>
      <c r="T23" s="36"/>
      <c r="U23" s="36"/>
      <c r="V23" s="36"/>
      <c r="W23" s="45"/>
      <c r="X23" s="44">
        <v>71</v>
      </c>
      <c r="Y23" s="36"/>
      <c r="Z23" s="36"/>
      <c r="AA23" s="36"/>
      <c r="AB23" s="45"/>
      <c r="AC23" s="44">
        <v>70</v>
      </c>
      <c r="AD23" s="36"/>
      <c r="AE23" s="36"/>
      <c r="AF23" s="36"/>
      <c r="AG23" s="45"/>
      <c r="AH23" s="44">
        <v>69</v>
      </c>
      <c r="AI23" s="36"/>
      <c r="AJ23" s="36"/>
      <c r="AK23" s="36"/>
      <c r="AL23" s="45"/>
      <c r="AM23" s="44">
        <v>68</v>
      </c>
      <c r="AN23" s="36"/>
      <c r="AO23" s="36"/>
      <c r="AP23" s="36"/>
      <c r="AQ23" s="45"/>
      <c r="AR23" s="44">
        <v>67</v>
      </c>
      <c r="AS23" s="36"/>
      <c r="AT23" s="36"/>
      <c r="AU23" s="36"/>
      <c r="AV23" s="45"/>
      <c r="AW23" s="44">
        <v>66</v>
      </c>
      <c r="AX23" s="36"/>
      <c r="AY23" s="36"/>
      <c r="AZ23" s="36"/>
      <c r="BA23" s="45"/>
      <c r="BB23" s="44">
        <v>65</v>
      </c>
      <c r="BC23" s="36"/>
      <c r="BD23" s="36"/>
      <c r="BE23" s="36"/>
      <c r="BF23" s="45"/>
      <c r="BG23" s="44">
        <v>44</v>
      </c>
      <c r="BH23" s="36"/>
      <c r="BI23" s="36"/>
      <c r="BJ23" s="36"/>
      <c r="BK23" s="45"/>
      <c r="BL23" s="44">
        <v>15</v>
      </c>
      <c r="BM23" s="36"/>
      <c r="BN23" s="36"/>
      <c r="BO23" s="36"/>
      <c r="BP23" s="45"/>
      <c r="BT23" s="55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7"/>
    </row>
    <row r="24" spans="4:86" x14ac:dyDescent="0.25">
      <c r="E24" s="6"/>
      <c r="F24" s="5"/>
      <c r="H24" s="59"/>
      <c r="I24" s="46"/>
      <c r="J24" s="47"/>
      <c r="K24" s="47"/>
      <c r="L24" s="47"/>
      <c r="M24" s="48"/>
      <c r="N24" s="46"/>
      <c r="O24" s="47"/>
      <c r="P24" s="47"/>
      <c r="Q24" s="47"/>
      <c r="R24" s="48"/>
      <c r="S24" s="46"/>
      <c r="T24" s="47"/>
      <c r="U24" s="47"/>
      <c r="V24" s="47"/>
      <c r="W24" s="48"/>
      <c r="X24" s="46"/>
      <c r="Y24" s="47"/>
      <c r="Z24" s="47"/>
      <c r="AA24" s="47"/>
      <c r="AB24" s="48"/>
      <c r="AC24" s="46"/>
      <c r="AD24" s="47"/>
      <c r="AE24" s="47"/>
      <c r="AF24" s="47"/>
      <c r="AG24" s="48"/>
      <c r="AH24" s="46"/>
      <c r="AI24" s="47"/>
      <c r="AJ24" s="47"/>
      <c r="AK24" s="47"/>
      <c r="AL24" s="48"/>
      <c r="AM24" s="46"/>
      <c r="AN24" s="47"/>
      <c r="AO24" s="47"/>
      <c r="AP24" s="47"/>
      <c r="AQ24" s="48"/>
      <c r="AR24" s="46"/>
      <c r="AS24" s="47"/>
      <c r="AT24" s="47"/>
      <c r="AU24" s="47"/>
      <c r="AV24" s="48"/>
      <c r="AW24" s="46"/>
      <c r="AX24" s="47"/>
      <c r="AY24" s="47"/>
      <c r="AZ24" s="47"/>
      <c r="BA24" s="48"/>
      <c r="BB24" s="46"/>
      <c r="BC24" s="47"/>
      <c r="BD24" s="47"/>
      <c r="BE24" s="47"/>
      <c r="BF24" s="48"/>
      <c r="BG24" s="46"/>
      <c r="BH24" s="47"/>
      <c r="BI24" s="47"/>
      <c r="BJ24" s="47"/>
      <c r="BK24" s="48"/>
      <c r="BL24" s="46"/>
      <c r="BM24" s="47"/>
      <c r="BN24" s="47"/>
      <c r="BO24" s="47"/>
      <c r="BP24" s="48"/>
      <c r="BT24" s="63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5"/>
    </row>
    <row r="25" spans="4:86" x14ac:dyDescent="0.25">
      <c r="E25" s="6"/>
      <c r="F25" s="5"/>
      <c r="H25" s="59">
        <v>10</v>
      </c>
      <c r="I25" s="39">
        <f>100-1.37</f>
        <v>98.63</v>
      </c>
      <c r="J25" s="40"/>
      <c r="K25" s="40"/>
      <c r="L25" s="40"/>
      <c r="M25" s="41"/>
      <c r="N25" s="39">
        <f>SUM(N30+I30+I25)/3-0.02</f>
        <v>98.710000000000008</v>
      </c>
      <c r="O25" s="40"/>
      <c r="P25" s="40"/>
      <c r="Q25" s="40"/>
      <c r="R25" s="41"/>
      <c r="S25" s="39">
        <f>S30-0.03</f>
        <v>98.71</v>
      </c>
      <c r="T25" s="40"/>
      <c r="U25" s="40"/>
      <c r="V25" s="40"/>
      <c r="W25" s="41"/>
      <c r="X25" s="39">
        <f>X30-0.03</f>
        <v>98.62</v>
      </c>
      <c r="Y25" s="40"/>
      <c r="Z25" s="40"/>
      <c r="AA25" s="40"/>
      <c r="AB25" s="41"/>
      <c r="AC25" s="39">
        <f>AC30-0.02</f>
        <v>98.600000000000009</v>
      </c>
      <c r="AD25" s="40"/>
      <c r="AE25" s="40"/>
      <c r="AF25" s="40"/>
      <c r="AG25" s="41"/>
      <c r="AH25" s="39">
        <f>AH30-0.05</f>
        <v>98.61</v>
      </c>
      <c r="AI25" s="40"/>
      <c r="AJ25" s="40"/>
      <c r="AK25" s="40"/>
      <c r="AL25" s="41"/>
      <c r="AM25" s="39">
        <f>AM30-0.05</f>
        <v>98.62</v>
      </c>
      <c r="AN25" s="40"/>
      <c r="AO25" s="40"/>
      <c r="AP25" s="40"/>
      <c r="AQ25" s="41"/>
      <c r="AR25" s="39">
        <f>AR30-0.05</f>
        <v>98.62</v>
      </c>
      <c r="AS25" s="40"/>
      <c r="AT25" s="40"/>
      <c r="AU25" s="40"/>
      <c r="AV25" s="41"/>
      <c r="AW25" s="39">
        <f>AW30-0.05</f>
        <v>98.63000000000001</v>
      </c>
      <c r="AX25" s="40"/>
      <c r="AY25" s="40"/>
      <c r="AZ25" s="40"/>
      <c r="BA25" s="41"/>
      <c r="BB25" s="39">
        <f>BB30-0.03</f>
        <v>98.679999999999993</v>
      </c>
      <c r="BC25" s="40"/>
      <c r="BD25" s="40"/>
      <c r="BE25" s="40"/>
      <c r="BF25" s="41"/>
      <c r="BG25" s="39">
        <f>SUM(BG30+BL30+BL25)/3-0.05</f>
        <v>98.683333333333337</v>
      </c>
      <c r="BH25" s="40"/>
      <c r="BI25" s="40"/>
      <c r="BJ25" s="40"/>
      <c r="BK25" s="41"/>
      <c r="BL25" s="39">
        <f>100-1.26</f>
        <v>98.74</v>
      </c>
      <c r="BM25" s="40"/>
      <c r="BN25" s="40"/>
      <c r="BO25" s="40"/>
      <c r="BP25" s="41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8"/>
    </row>
    <row r="26" spans="4:86" x14ac:dyDescent="0.25">
      <c r="E26" s="6"/>
      <c r="F26" s="5"/>
      <c r="H26" s="59"/>
      <c r="I26" s="42"/>
      <c r="J26" s="32"/>
      <c r="K26" s="32"/>
      <c r="L26" s="32"/>
      <c r="M26" s="43"/>
      <c r="N26" s="42"/>
      <c r="O26" s="32"/>
      <c r="P26" s="32"/>
      <c r="Q26" s="32"/>
      <c r="R26" s="43"/>
      <c r="S26" s="42"/>
      <c r="T26" s="32"/>
      <c r="U26" s="32"/>
      <c r="V26" s="32"/>
      <c r="W26" s="43"/>
      <c r="X26" s="42"/>
      <c r="Y26" s="32"/>
      <c r="Z26" s="32"/>
      <c r="AA26" s="32"/>
      <c r="AB26" s="43"/>
      <c r="AC26" s="42"/>
      <c r="AD26" s="32"/>
      <c r="AE26" s="32"/>
      <c r="AF26" s="32"/>
      <c r="AG26" s="43"/>
      <c r="AH26" s="42"/>
      <c r="AI26" s="32"/>
      <c r="AJ26" s="32"/>
      <c r="AK26" s="32"/>
      <c r="AL26" s="43"/>
      <c r="AM26" s="42"/>
      <c r="AN26" s="32"/>
      <c r="AO26" s="32"/>
      <c r="AP26" s="32"/>
      <c r="AQ26" s="43"/>
      <c r="AR26" s="42"/>
      <c r="AS26" s="32"/>
      <c r="AT26" s="32"/>
      <c r="AU26" s="32"/>
      <c r="AV26" s="43"/>
      <c r="AW26" s="42"/>
      <c r="AX26" s="32"/>
      <c r="AY26" s="32"/>
      <c r="AZ26" s="32"/>
      <c r="BA26" s="43"/>
      <c r="BB26" s="42"/>
      <c r="BC26" s="32"/>
      <c r="BD26" s="32"/>
      <c r="BE26" s="32"/>
      <c r="BF26" s="43"/>
      <c r="BG26" s="42"/>
      <c r="BH26" s="32"/>
      <c r="BI26" s="32"/>
      <c r="BJ26" s="32"/>
      <c r="BK26" s="43"/>
      <c r="BL26" s="42"/>
      <c r="BM26" s="32"/>
      <c r="BN26" s="32"/>
      <c r="BO26" s="32"/>
      <c r="BP26" s="43"/>
      <c r="BT26" s="63" t="s">
        <v>8</v>
      </c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5"/>
    </row>
    <row r="27" spans="4:86" x14ac:dyDescent="0.25">
      <c r="E27" s="6"/>
      <c r="F27" s="5"/>
      <c r="H27" s="59"/>
      <c r="I27" s="42"/>
      <c r="J27" s="32"/>
      <c r="K27" s="32"/>
      <c r="L27" s="32"/>
      <c r="M27" s="43"/>
      <c r="N27" s="42"/>
      <c r="O27" s="32"/>
      <c r="P27" s="32"/>
      <c r="Q27" s="32"/>
      <c r="R27" s="43"/>
      <c r="S27" s="42"/>
      <c r="T27" s="32"/>
      <c r="U27" s="32"/>
      <c r="V27" s="32"/>
      <c r="W27" s="43"/>
      <c r="X27" s="42"/>
      <c r="Y27" s="32"/>
      <c r="Z27" s="32"/>
      <c r="AA27" s="32"/>
      <c r="AB27" s="43"/>
      <c r="AC27" s="42"/>
      <c r="AD27" s="32"/>
      <c r="AE27" s="32"/>
      <c r="AF27" s="32"/>
      <c r="AG27" s="43"/>
      <c r="AH27" s="42"/>
      <c r="AI27" s="32"/>
      <c r="AJ27" s="32"/>
      <c r="AK27" s="32"/>
      <c r="AL27" s="43"/>
      <c r="AM27" s="42"/>
      <c r="AN27" s="32"/>
      <c r="AO27" s="32"/>
      <c r="AP27" s="32"/>
      <c r="AQ27" s="43"/>
      <c r="AR27" s="42"/>
      <c r="AS27" s="32"/>
      <c r="AT27" s="32"/>
      <c r="AU27" s="32"/>
      <c r="AV27" s="43"/>
      <c r="AW27" s="42"/>
      <c r="AX27" s="32"/>
      <c r="AY27" s="32"/>
      <c r="AZ27" s="32"/>
      <c r="BA27" s="43"/>
      <c r="BB27" s="42"/>
      <c r="BC27" s="32"/>
      <c r="BD27" s="32"/>
      <c r="BE27" s="32"/>
      <c r="BF27" s="43"/>
      <c r="BG27" s="42"/>
      <c r="BH27" s="32"/>
      <c r="BI27" s="32"/>
      <c r="BJ27" s="32"/>
      <c r="BK27" s="43"/>
      <c r="BL27" s="42"/>
      <c r="BM27" s="32"/>
      <c r="BN27" s="32"/>
      <c r="BO27" s="32"/>
      <c r="BP27" s="43"/>
      <c r="BT27" s="66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8"/>
    </row>
    <row r="28" spans="4:86" x14ac:dyDescent="0.25">
      <c r="E28" s="6"/>
      <c r="F28" s="5"/>
      <c r="H28" s="59"/>
      <c r="I28" s="44">
        <v>29</v>
      </c>
      <c r="J28" s="36"/>
      <c r="K28" s="36"/>
      <c r="L28" s="36"/>
      <c r="M28" s="45"/>
      <c r="N28" s="44">
        <v>54</v>
      </c>
      <c r="O28" s="36"/>
      <c r="P28" s="36"/>
      <c r="Q28" s="36"/>
      <c r="R28" s="45"/>
      <c r="S28" s="44">
        <v>53</v>
      </c>
      <c r="T28" s="36"/>
      <c r="U28" s="36"/>
      <c r="V28" s="36"/>
      <c r="W28" s="45"/>
      <c r="X28" s="44">
        <v>52</v>
      </c>
      <c r="Y28" s="36"/>
      <c r="Z28" s="36"/>
      <c r="AA28" s="36"/>
      <c r="AB28" s="45"/>
      <c r="AC28" s="44">
        <v>51</v>
      </c>
      <c r="AD28" s="36"/>
      <c r="AE28" s="36"/>
      <c r="AF28" s="36"/>
      <c r="AG28" s="45"/>
      <c r="AH28" s="44">
        <v>50</v>
      </c>
      <c r="AI28" s="36"/>
      <c r="AJ28" s="36"/>
      <c r="AK28" s="36"/>
      <c r="AL28" s="45"/>
      <c r="AM28" s="44">
        <v>49</v>
      </c>
      <c r="AN28" s="36"/>
      <c r="AO28" s="36"/>
      <c r="AP28" s="36"/>
      <c r="AQ28" s="45"/>
      <c r="AR28" s="44">
        <v>48</v>
      </c>
      <c r="AS28" s="36"/>
      <c r="AT28" s="36"/>
      <c r="AU28" s="36"/>
      <c r="AV28" s="45"/>
      <c r="AW28" s="44">
        <v>47</v>
      </c>
      <c r="AX28" s="36"/>
      <c r="AY28" s="36"/>
      <c r="AZ28" s="36"/>
      <c r="BA28" s="45"/>
      <c r="BB28" s="44">
        <v>46</v>
      </c>
      <c r="BC28" s="36"/>
      <c r="BD28" s="36"/>
      <c r="BE28" s="36"/>
      <c r="BF28" s="45"/>
      <c r="BG28" s="44">
        <v>45</v>
      </c>
      <c r="BH28" s="36"/>
      <c r="BI28" s="36"/>
      <c r="BJ28" s="36"/>
      <c r="BK28" s="45"/>
      <c r="BL28" s="44">
        <v>16</v>
      </c>
      <c r="BM28" s="36"/>
      <c r="BN28" s="36"/>
      <c r="BO28" s="36"/>
      <c r="BP28" s="45"/>
      <c r="BT28" s="63" t="s">
        <v>6</v>
      </c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5"/>
    </row>
    <row r="29" spans="4:86" x14ac:dyDescent="0.25">
      <c r="E29" s="6"/>
      <c r="F29" s="5"/>
      <c r="H29" s="59"/>
      <c r="I29" s="46"/>
      <c r="J29" s="47"/>
      <c r="K29" s="47"/>
      <c r="L29" s="47"/>
      <c r="M29" s="48"/>
      <c r="N29" s="46"/>
      <c r="O29" s="47"/>
      <c r="P29" s="47"/>
      <c r="Q29" s="47"/>
      <c r="R29" s="48"/>
      <c r="S29" s="46"/>
      <c r="T29" s="47"/>
      <c r="U29" s="47"/>
      <c r="V29" s="47"/>
      <c r="W29" s="48"/>
      <c r="X29" s="46"/>
      <c r="Y29" s="47"/>
      <c r="Z29" s="47"/>
      <c r="AA29" s="47"/>
      <c r="AB29" s="48"/>
      <c r="AC29" s="46"/>
      <c r="AD29" s="47"/>
      <c r="AE29" s="47"/>
      <c r="AF29" s="47"/>
      <c r="AG29" s="48"/>
      <c r="AH29" s="46"/>
      <c r="AI29" s="47"/>
      <c r="AJ29" s="47"/>
      <c r="AK29" s="47"/>
      <c r="AL29" s="48"/>
      <c r="AM29" s="46"/>
      <c r="AN29" s="47"/>
      <c r="AO29" s="47"/>
      <c r="AP29" s="47"/>
      <c r="AQ29" s="48"/>
      <c r="AR29" s="46"/>
      <c r="AS29" s="47"/>
      <c r="AT29" s="47"/>
      <c r="AU29" s="47"/>
      <c r="AV29" s="48"/>
      <c r="AW29" s="46"/>
      <c r="AX29" s="47"/>
      <c r="AY29" s="47"/>
      <c r="AZ29" s="47"/>
      <c r="BA29" s="48"/>
      <c r="BB29" s="46"/>
      <c r="BC29" s="47"/>
      <c r="BD29" s="47"/>
      <c r="BE29" s="47"/>
      <c r="BF29" s="48"/>
      <c r="BG29" s="46"/>
      <c r="BH29" s="47"/>
      <c r="BI29" s="47"/>
      <c r="BJ29" s="47"/>
      <c r="BK29" s="48"/>
      <c r="BL29" s="46"/>
      <c r="BM29" s="47"/>
      <c r="BN29" s="47"/>
      <c r="BO29" s="47"/>
      <c r="BP29" s="48"/>
      <c r="BT29" s="66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8"/>
    </row>
    <row r="30" spans="4:86" x14ac:dyDescent="0.25">
      <c r="E30" s="6"/>
      <c r="F30" s="5"/>
      <c r="H30" s="59">
        <v>10</v>
      </c>
      <c r="I30" s="39">
        <f>100-1.22</f>
        <v>98.78</v>
      </c>
      <c r="J30" s="40"/>
      <c r="K30" s="40"/>
      <c r="L30" s="40"/>
      <c r="M30" s="41"/>
      <c r="N30" s="39">
        <f>100-1.22</f>
        <v>98.78</v>
      </c>
      <c r="O30" s="40"/>
      <c r="P30" s="40"/>
      <c r="Q30" s="40"/>
      <c r="R30" s="41"/>
      <c r="S30" s="39">
        <f>100-1.26</f>
        <v>98.74</v>
      </c>
      <c r="T30" s="40"/>
      <c r="U30" s="40"/>
      <c r="V30" s="40"/>
      <c r="W30" s="41"/>
      <c r="X30" s="39">
        <f>100-1.35</f>
        <v>98.65</v>
      </c>
      <c r="Y30" s="40"/>
      <c r="Z30" s="40"/>
      <c r="AA30" s="40"/>
      <c r="AB30" s="41"/>
      <c r="AC30" s="39">
        <f>100-1.38</f>
        <v>98.62</v>
      </c>
      <c r="AD30" s="40"/>
      <c r="AE30" s="40"/>
      <c r="AF30" s="40"/>
      <c r="AG30" s="41"/>
      <c r="AH30" s="39">
        <f>100-1.34</f>
        <v>98.66</v>
      </c>
      <c r="AI30" s="40"/>
      <c r="AJ30" s="40"/>
      <c r="AK30" s="40"/>
      <c r="AL30" s="41"/>
      <c r="AM30" s="39">
        <f>100-1.33</f>
        <v>98.67</v>
      </c>
      <c r="AN30" s="40"/>
      <c r="AO30" s="40"/>
      <c r="AP30" s="40"/>
      <c r="AQ30" s="41"/>
      <c r="AR30" s="39">
        <f>100-1.33</f>
        <v>98.67</v>
      </c>
      <c r="AS30" s="40"/>
      <c r="AT30" s="40"/>
      <c r="AU30" s="40"/>
      <c r="AV30" s="41"/>
      <c r="AW30" s="39">
        <f>100-1.32</f>
        <v>98.68</v>
      </c>
      <c r="AX30" s="40"/>
      <c r="AY30" s="40"/>
      <c r="AZ30" s="40"/>
      <c r="BA30" s="41"/>
      <c r="BB30" s="39">
        <f>100-1.29</f>
        <v>98.71</v>
      </c>
      <c r="BC30" s="40"/>
      <c r="BD30" s="40"/>
      <c r="BE30" s="40"/>
      <c r="BF30" s="41"/>
      <c r="BG30" s="39">
        <f>100-1.29</f>
        <v>98.71</v>
      </c>
      <c r="BH30" s="40"/>
      <c r="BI30" s="40"/>
      <c r="BJ30" s="40"/>
      <c r="BK30" s="41"/>
      <c r="BL30" s="39">
        <f>100-1.25</f>
        <v>98.75</v>
      </c>
      <c r="BM30" s="40"/>
      <c r="BN30" s="40"/>
      <c r="BO30" s="40"/>
      <c r="BP30" s="41"/>
      <c r="BT30" s="63" t="s">
        <v>7</v>
      </c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5"/>
    </row>
    <row r="31" spans="4:86" x14ac:dyDescent="0.25">
      <c r="E31" s="6"/>
      <c r="F31" s="5"/>
      <c r="H31" s="59"/>
      <c r="I31" s="42"/>
      <c r="J31" s="32"/>
      <c r="K31" s="32"/>
      <c r="L31" s="32"/>
      <c r="M31" s="43"/>
      <c r="N31" s="42"/>
      <c r="O31" s="32"/>
      <c r="P31" s="32"/>
      <c r="Q31" s="32"/>
      <c r="R31" s="43"/>
      <c r="S31" s="42"/>
      <c r="T31" s="32"/>
      <c r="U31" s="32"/>
      <c r="V31" s="32"/>
      <c r="W31" s="43"/>
      <c r="X31" s="42"/>
      <c r="Y31" s="32"/>
      <c r="Z31" s="32"/>
      <c r="AA31" s="32"/>
      <c r="AB31" s="43"/>
      <c r="AC31" s="42"/>
      <c r="AD31" s="32"/>
      <c r="AE31" s="32"/>
      <c r="AF31" s="32"/>
      <c r="AG31" s="43"/>
      <c r="AH31" s="42"/>
      <c r="AI31" s="32"/>
      <c r="AJ31" s="32"/>
      <c r="AK31" s="32"/>
      <c r="AL31" s="43"/>
      <c r="AM31" s="42"/>
      <c r="AN31" s="32"/>
      <c r="AO31" s="32"/>
      <c r="AP31" s="32"/>
      <c r="AQ31" s="43"/>
      <c r="AR31" s="42"/>
      <c r="AS31" s="32"/>
      <c r="AT31" s="32"/>
      <c r="AU31" s="32"/>
      <c r="AV31" s="43"/>
      <c r="AW31" s="42"/>
      <c r="AX31" s="32"/>
      <c r="AY31" s="32"/>
      <c r="AZ31" s="32"/>
      <c r="BA31" s="43"/>
      <c r="BB31" s="42"/>
      <c r="BC31" s="32"/>
      <c r="BD31" s="32"/>
      <c r="BE31" s="32"/>
      <c r="BF31" s="43"/>
      <c r="BG31" s="42"/>
      <c r="BH31" s="32"/>
      <c r="BI31" s="32"/>
      <c r="BJ31" s="32"/>
      <c r="BK31" s="43"/>
      <c r="BL31" s="42"/>
      <c r="BM31" s="32"/>
      <c r="BN31" s="32"/>
      <c r="BO31" s="32"/>
      <c r="BP31" s="43"/>
      <c r="BT31" s="66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8"/>
    </row>
    <row r="32" spans="4:86" x14ac:dyDescent="0.25">
      <c r="E32" s="6"/>
      <c r="F32" s="5"/>
      <c r="H32" s="59"/>
      <c r="I32" s="42"/>
      <c r="J32" s="32"/>
      <c r="K32" s="32"/>
      <c r="L32" s="32"/>
      <c r="M32" s="43"/>
      <c r="N32" s="42"/>
      <c r="O32" s="32"/>
      <c r="P32" s="32"/>
      <c r="Q32" s="32"/>
      <c r="R32" s="43"/>
      <c r="S32" s="42"/>
      <c r="T32" s="32"/>
      <c r="U32" s="32"/>
      <c r="V32" s="32"/>
      <c r="W32" s="43"/>
      <c r="X32" s="42"/>
      <c r="Y32" s="32"/>
      <c r="Z32" s="32"/>
      <c r="AA32" s="32"/>
      <c r="AB32" s="43"/>
      <c r="AC32" s="42"/>
      <c r="AD32" s="32"/>
      <c r="AE32" s="32"/>
      <c r="AF32" s="32"/>
      <c r="AG32" s="43"/>
      <c r="AH32" s="42"/>
      <c r="AI32" s="32"/>
      <c r="AJ32" s="32"/>
      <c r="AK32" s="32"/>
      <c r="AL32" s="43"/>
      <c r="AM32" s="42"/>
      <c r="AN32" s="32"/>
      <c r="AO32" s="32"/>
      <c r="AP32" s="32"/>
      <c r="AQ32" s="43"/>
      <c r="AR32" s="42"/>
      <c r="AS32" s="32"/>
      <c r="AT32" s="32"/>
      <c r="AU32" s="32"/>
      <c r="AV32" s="43"/>
      <c r="AW32" s="42"/>
      <c r="AX32" s="32"/>
      <c r="AY32" s="32"/>
      <c r="AZ32" s="32"/>
      <c r="BA32" s="43"/>
      <c r="BB32" s="42"/>
      <c r="BC32" s="32"/>
      <c r="BD32" s="32"/>
      <c r="BE32" s="32"/>
      <c r="BF32" s="43"/>
      <c r="BG32" s="42"/>
      <c r="BH32" s="32"/>
      <c r="BI32" s="32"/>
      <c r="BJ32" s="32"/>
      <c r="BK32" s="43"/>
      <c r="BL32" s="42"/>
      <c r="BM32" s="32"/>
      <c r="BN32" s="32"/>
      <c r="BO32" s="32"/>
      <c r="BP32" s="43"/>
      <c r="BT32" s="63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5"/>
    </row>
    <row r="33" spans="1:86" x14ac:dyDescent="0.25">
      <c r="E33" s="6"/>
      <c r="F33" s="5"/>
      <c r="H33" s="59"/>
      <c r="I33" s="44">
        <v>28</v>
      </c>
      <c r="J33" s="36"/>
      <c r="K33" s="36"/>
      <c r="L33" s="36"/>
      <c r="M33" s="45"/>
      <c r="N33" s="44">
        <v>27</v>
      </c>
      <c r="O33" s="36"/>
      <c r="P33" s="36"/>
      <c r="Q33" s="36"/>
      <c r="R33" s="45"/>
      <c r="S33" s="44">
        <v>26</v>
      </c>
      <c r="T33" s="36"/>
      <c r="U33" s="36"/>
      <c r="V33" s="36"/>
      <c r="W33" s="45"/>
      <c r="X33" s="44">
        <v>25</v>
      </c>
      <c r="Y33" s="36"/>
      <c r="Z33" s="36"/>
      <c r="AA33" s="36"/>
      <c r="AB33" s="45"/>
      <c r="AC33" s="44">
        <v>24</v>
      </c>
      <c r="AD33" s="36"/>
      <c r="AE33" s="36"/>
      <c r="AF33" s="36"/>
      <c r="AG33" s="45"/>
      <c r="AH33" s="44">
        <v>23</v>
      </c>
      <c r="AI33" s="36"/>
      <c r="AJ33" s="36"/>
      <c r="AK33" s="36"/>
      <c r="AL33" s="45"/>
      <c r="AM33" s="44">
        <v>22</v>
      </c>
      <c r="AN33" s="36"/>
      <c r="AO33" s="36"/>
      <c r="AP33" s="36"/>
      <c r="AQ33" s="45"/>
      <c r="AR33" s="44">
        <v>21</v>
      </c>
      <c r="AS33" s="36"/>
      <c r="AT33" s="36"/>
      <c r="AU33" s="36"/>
      <c r="AV33" s="45"/>
      <c r="AW33" s="44">
        <v>20</v>
      </c>
      <c r="AX33" s="36"/>
      <c r="AY33" s="36"/>
      <c r="AZ33" s="36"/>
      <c r="BA33" s="45"/>
      <c r="BB33" s="44">
        <v>19</v>
      </c>
      <c r="BC33" s="36"/>
      <c r="BD33" s="36"/>
      <c r="BE33" s="36"/>
      <c r="BF33" s="45"/>
      <c r="BG33" s="44">
        <v>18</v>
      </c>
      <c r="BH33" s="36"/>
      <c r="BI33" s="36"/>
      <c r="BJ33" s="36"/>
      <c r="BK33" s="45"/>
      <c r="BL33" s="44">
        <v>17</v>
      </c>
      <c r="BM33" s="36"/>
      <c r="BN33" s="36"/>
      <c r="BO33" s="36"/>
      <c r="BP33" s="45"/>
      <c r="BT33" s="66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8"/>
    </row>
    <row r="34" spans="1:86" x14ac:dyDescent="0.25">
      <c r="E34" s="9"/>
      <c r="F34" s="7"/>
      <c r="H34" s="59"/>
      <c r="I34" s="46"/>
      <c r="J34" s="47"/>
      <c r="K34" s="47"/>
      <c r="L34" s="47"/>
      <c r="M34" s="48"/>
      <c r="N34" s="46"/>
      <c r="O34" s="47"/>
      <c r="P34" s="47"/>
      <c r="Q34" s="47"/>
      <c r="R34" s="48"/>
      <c r="S34" s="46"/>
      <c r="T34" s="47"/>
      <c r="U34" s="47"/>
      <c r="V34" s="47"/>
      <c r="W34" s="48"/>
      <c r="X34" s="46"/>
      <c r="Y34" s="47"/>
      <c r="Z34" s="47"/>
      <c r="AA34" s="47"/>
      <c r="AB34" s="48"/>
      <c r="AC34" s="46"/>
      <c r="AD34" s="47"/>
      <c r="AE34" s="47"/>
      <c r="AF34" s="47"/>
      <c r="AG34" s="48"/>
      <c r="AH34" s="46"/>
      <c r="AI34" s="47"/>
      <c r="AJ34" s="47"/>
      <c r="AK34" s="47"/>
      <c r="AL34" s="48"/>
      <c r="AM34" s="46"/>
      <c r="AN34" s="47"/>
      <c r="AO34" s="47"/>
      <c r="AP34" s="47"/>
      <c r="AQ34" s="48"/>
      <c r="AR34" s="46"/>
      <c r="AS34" s="47"/>
      <c r="AT34" s="47"/>
      <c r="AU34" s="47"/>
      <c r="AV34" s="48"/>
      <c r="AW34" s="46"/>
      <c r="AX34" s="47"/>
      <c r="AY34" s="47"/>
      <c r="AZ34" s="47"/>
      <c r="BA34" s="48"/>
      <c r="BB34" s="46"/>
      <c r="BC34" s="47"/>
      <c r="BD34" s="47"/>
      <c r="BE34" s="47"/>
      <c r="BF34" s="48"/>
      <c r="BG34" s="46"/>
      <c r="BH34" s="47"/>
      <c r="BI34" s="47"/>
      <c r="BJ34" s="47"/>
      <c r="BK34" s="48"/>
      <c r="BL34" s="46"/>
      <c r="BM34" s="47"/>
      <c r="BN34" s="47"/>
      <c r="BO34" s="47"/>
      <c r="BP34" s="48"/>
    </row>
    <row r="38" spans="1:86" x14ac:dyDescent="0.25"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32">
        <f>AM1</f>
        <v>120</v>
      </c>
      <c r="AN38" s="36"/>
      <c r="AO38" s="36"/>
      <c r="AP38" s="36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9"/>
    </row>
    <row r="39" spans="1:86" x14ac:dyDescent="0.25">
      <c r="C39" s="71"/>
      <c r="D39" s="71"/>
      <c r="E39" s="73"/>
      <c r="F39" s="73"/>
      <c r="G39" s="74"/>
      <c r="H39" s="74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6"/>
      <c r="AN39" s="36"/>
      <c r="AO39" s="36"/>
      <c r="AP39" s="36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4"/>
      <c r="BQ39" s="71"/>
      <c r="BR39" s="71"/>
      <c r="BS39" s="73"/>
      <c r="BT39" s="73"/>
      <c r="BU39" s="74"/>
      <c r="BV39" s="74"/>
    </row>
    <row r="40" spans="1:86" x14ac:dyDescent="0.25">
      <c r="A40" s="17"/>
      <c r="B40" s="17"/>
      <c r="C40" s="72"/>
      <c r="D40" s="72"/>
      <c r="E40" s="60"/>
      <c r="F40" s="60"/>
      <c r="G40" s="75"/>
      <c r="H40" s="75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72"/>
      <c r="BR40" s="72"/>
      <c r="BS40" s="36"/>
      <c r="BT40" s="36"/>
      <c r="BU40" s="75"/>
      <c r="BV40" s="75"/>
      <c r="BW40" s="17"/>
      <c r="BX40" s="17"/>
      <c r="BY40" s="60" t="s">
        <v>9</v>
      </c>
      <c r="BZ40" s="60"/>
      <c r="CA40" s="60"/>
      <c r="CB40" s="60"/>
      <c r="CC40" s="60"/>
      <c r="CD40" s="60"/>
      <c r="CE40" s="17"/>
      <c r="CF40" s="17"/>
      <c r="CG40" s="17"/>
      <c r="CH40" s="17"/>
    </row>
    <row r="41" spans="1:86" x14ac:dyDescent="0.25">
      <c r="F41" s="12"/>
      <c r="G41" s="12"/>
      <c r="H41" s="12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BP41" s="6"/>
      <c r="BQ41" s="5"/>
      <c r="BS41" s="4"/>
      <c r="BT41" s="2"/>
      <c r="BY41" s="61" t="s">
        <v>10</v>
      </c>
      <c r="BZ41" s="61"/>
      <c r="CA41" s="61"/>
      <c r="CB41" s="61"/>
      <c r="CC41" s="61"/>
      <c r="CD41" s="61"/>
    </row>
    <row r="42" spans="1:86" x14ac:dyDescent="0.25">
      <c r="F42" s="12"/>
      <c r="G42" s="12"/>
      <c r="H42" s="1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BP42" s="6"/>
      <c r="BQ42" s="5"/>
      <c r="BS42" s="6"/>
      <c r="BT42" s="5"/>
      <c r="BY42" s="36"/>
      <c r="BZ42" s="36"/>
      <c r="CA42" s="36"/>
      <c r="CB42" s="36"/>
      <c r="CC42" s="36"/>
      <c r="CD42" s="36"/>
    </row>
    <row r="43" spans="1:86" x14ac:dyDescent="0.25">
      <c r="F43" s="12"/>
      <c r="G43" s="12"/>
      <c r="H43" s="12"/>
      <c r="I43" s="14"/>
      <c r="J43" s="15"/>
      <c r="K43" s="15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BN43" s="8"/>
      <c r="BO43" s="8"/>
      <c r="BP43" s="9"/>
      <c r="BQ43" s="20"/>
      <c r="BR43" s="21"/>
      <c r="BS43" s="22"/>
      <c r="BT43" s="20"/>
      <c r="BU43" s="21"/>
      <c r="BV43" s="21"/>
      <c r="BW43" s="21"/>
      <c r="BX43" s="21"/>
      <c r="BY43" s="62"/>
      <c r="BZ43" s="62"/>
      <c r="CA43" s="62"/>
      <c r="CB43" s="62"/>
      <c r="CC43" s="62"/>
      <c r="CD43" s="62"/>
    </row>
    <row r="44" spans="1:86" x14ac:dyDescent="0.25">
      <c r="F44" s="12"/>
      <c r="G44" s="12"/>
      <c r="H44" s="12"/>
      <c r="I44" s="12"/>
      <c r="J44" s="12"/>
      <c r="K44" s="12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BM44" s="6"/>
      <c r="BN44" s="5"/>
      <c r="BS44" s="43">
        <v>2.6</v>
      </c>
      <c r="BT44" s="32"/>
      <c r="BY44" s="36" t="s">
        <v>11</v>
      </c>
      <c r="BZ44" s="36"/>
      <c r="CA44" s="36"/>
      <c r="CB44" s="36"/>
      <c r="CC44" s="36"/>
      <c r="CD44" s="36"/>
    </row>
    <row r="45" spans="1:86" x14ac:dyDescent="0.25">
      <c r="F45" s="12"/>
      <c r="G45" s="12"/>
      <c r="H45" s="12"/>
      <c r="I45" s="12"/>
      <c r="J45" s="12"/>
      <c r="K45" s="12"/>
      <c r="L45" s="1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BM45" s="6"/>
      <c r="BN45" s="5"/>
      <c r="BS45" s="43"/>
      <c r="BT45" s="32"/>
      <c r="BY45" s="36"/>
      <c r="BZ45" s="36"/>
      <c r="CA45" s="36"/>
      <c r="CB45" s="36"/>
      <c r="CC45" s="36"/>
      <c r="CD45" s="36"/>
    </row>
    <row r="46" spans="1:86" x14ac:dyDescent="0.25">
      <c r="F46" s="12"/>
      <c r="G46" s="12"/>
      <c r="H46" s="12"/>
      <c r="I46" s="12"/>
      <c r="J46" s="12"/>
      <c r="K46" s="12"/>
      <c r="L46" s="14"/>
      <c r="M46" s="15"/>
      <c r="N46" s="15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BK46" s="8"/>
      <c r="BL46" s="8"/>
      <c r="BM46" s="9"/>
      <c r="BN46" s="20"/>
      <c r="BO46" s="21"/>
      <c r="BP46" s="21"/>
      <c r="BQ46" s="21"/>
      <c r="BR46" s="21"/>
      <c r="BS46" s="22"/>
      <c r="BT46" s="20"/>
      <c r="BU46" s="21"/>
      <c r="BV46" s="21"/>
      <c r="BW46" s="21"/>
      <c r="BX46" s="21"/>
      <c r="BY46" s="62"/>
      <c r="BZ46" s="62"/>
      <c r="CA46" s="62"/>
      <c r="CB46" s="62"/>
      <c r="CC46" s="62"/>
      <c r="CD46" s="62"/>
    </row>
    <row r="47" spans="1:86" x14ac:dyDescent="0.25">
      <c r="F47" s="12"/>
      <c r="G47" s="12"/>
      <c r="H47" s="12"/>
      <c r="I47" s="12"/>
      <c r="J47" s="12"/>
      <c r="K47" s="12"/>
      <c r="L47" s="12"/>
      <c r="M47" s="12"/>
      <c r="N47" s="12"/>
      <c r="O47" s="1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BJ47" s="6"/>
      <c r="BK47" s="5"/>
      <c r="BS47" s="6"/>
      <c r="BT47" s="5"/>
      <c r="BY47" s="36" t="s">
        <v>12</v>
      </c>
      <c r="BZ47" s="36"/>
      <c r="CA47" s="36"/>
      <c r="CB47" s="36"/>
      <c r="CC47" s="36"/>
      <c r="CD47" s="36"/>
    </row>
    <row r="48" spans="1:86" x14ac:dyDescent="0.25">
      <c r="F48" s="12"/>
      <c r="G48" s="12"/>
      <c r="H48" s="12"/>
      <c r="I48" s="12"/>
      <c r="J48" s="12"/>
      <c r="K48" s="12"/>
      <c r="L48" s="12"/>
      <c r="M48" s="12"/>
      <c r="N48" s="12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9"/>
      <c r="BK48" s="20"/>
      <c r="BL48" s="21"/>
      <c r="BM48" s="21"/>
      <c r="BN48" s="21"/>
      <c r="BO48" s="21"/>
      <c r="BP48" s="21"/>
      <c r="BQ48" s="21"/>
      <c r="BR48" s="21"/>
      <c r="BS48" s="9"/>
      <c r="BT48" s="7"/>
      <c r="BU48" s="21"/>
      <c r="BV48" s="21"/>
      <c r="BW48" s="21"/>
      <c r="BX48" s="21"/>
      <c r="BY48" s="62"/>
      <c r="BZ48" s="62"/>
      <c r="CA48" s="62"/>
      <c r="CB48" s="62"/>
      <c r="CC48" s="62"/>
      <c r="CD48" s="62"/>
    </row>
    <row r="49" spans="1:86" x14ac:dyDescent="0.25"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86" x14ac:dyDescent="0.25">
      <c r="F50" s="12"/>
      <c r="G50" s="12"/>
      <c r="H50" s="12"/>
      <c r="I50" s="12"/>
      <c r="J50" s="12"/>
      <c r="K50" s="12"/>
      <c r="L50" s="12"/>
      <c r="M50" s="12"/>
      <c r="N50" s="12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8"/>
      <c r="AE50" s="8"/>
      <c r="AF50" s="8"/>
      <c r="AG50" s="8"/>
      <c r="AH50" s="8"/>
      <c r="AI50" s="8"/>
      <c r="AJ50" s="8"/>
      <c r="AK50" s="8"/>
      <c r="AL50" s="8"/>
      <c r="AM50" s="32">
        <f>AM38-4</f>
        <v>116</v>
      </c>
      <c r="AN50" s="36"/>
      <c r="AO50" s="36"/>
      <c r="AP50" s="36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9"/>
    </row>
    <row r="51" spans="1:86" x14ac:dyDescent="0.25">
      <c r="F51" s="12"/>
      <c r="G51" s="12"/>
      <c r="H51" s="12"/>
      <c r="I51" s="12"/>
      <c r="J51" s="12"/>
      <c r="K51" s="12"/>
      <c r="L51" s="12"/>
      <c r="M51" s="12"/>
      <c r="N51" s="12"/>
      <c r="O51" s="18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"/>
      <c r="AE51" s="3"/>
      <c r="AF51" s="3"/>
      <c r="AG51" s="3"/>
      <c r="AH51" s="3"/>
      <c r="AI51" s="3"/>
      <c r="AJ51" s="3"/>
      <c r="AK51" s="3"/>
      <c r="AL51" s="3"/>
      <c r="AM51" s="36"/>
      <c r="AN51" s="36"/>
      <c r="AO51" s="36"/>
      <c r="AP51" s="36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4"/>
    </row>
    <row r="52" spans="1:86" x14ac:dyDescent="0.25"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86" x14ac:dyDescent="0.25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86" x14ac:dyDescent="0.25">
      <c r="A54" s="58" t="s">
        <v>13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</row>
    <row r="55" spans="1:86" x14ac:dyDescent="0.2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</row>
    <row r="56" spans="1:86" x14ac:dyDescent="0.2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</row>
    <row r="57" spans="1:86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86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</sheetData>
  <mergeCells count="194">
    <mergeCell ref="BT30:CH31"/>
    <mergeCell ref="BT32:CH33"/>
    <mergeCell ref="BT8:BX9"/>
    <mergeCell ref="BY8:CC9"/>
    <mergeCell ref="CD8:CH9"/>
    <mergeCell ref="BT4:BX5"/>
    <mergeCell ref="BY4:CC5"/>
    <mergeCell ref="CD4:CH5"/>
    <mergeCell ref="BT6:BX7"/>
    <mergeCell ref="BY6:CC7"/>
    <mergeCell ref="CD6:CH7"/>
    <mergeCell ref="BT10:CH19"/>
    <mergeCell ref="BT20:CH23"/>
    <mergeCell ref="BT24:CH25"/>
    <mergeCell ref="BT26:CH27"/>
    <mergeCell ref="BT28:CH29"/>
    <mergeCell ref="BG30:BK32"/>
    <mergeCell ref="BL30:BP32"/>
    <mergeCell ref="BB28:BF29"/>
    <mergeCell ref="BG28:BK29"/>
    <mergeCell ref="BL28:BP29"/>
    <mergeCell ref="AM33:AQ34"/>
    <mergeCell ref="AR33:AV34"/>
    <mergeCell ref="AW33:BA34"/>
    <mergeCell ref="BB33:BF34"/>
    <mergeCell ref="BG33:BK34"/>
    <mergeCell ref="BL33:BP34"/>
    <mergeCell ref="BL25:BP27"/>
    <mergeCell ref="I28:M29"/>
    <mergeCell ref="N28:R29"/>
    <mergeCell ref="S28:W29"/>
    <mergeCell ref="X28:AB29"/>
    <mergeCell ref="AC28:AG29"/>
    <mergeCell ref="AH28:AL29"/>
    <mergeCell ref="AM28:AQ29"/>
    <mergeCell ref="AR28:AV29"/>
    <mergeCell ref="AW28:BA29"/>
    <mergeCell ref="AH25:AL27"/>
    <mergeCell ref="AM25:AQ27"/>
    <mergeCell ref="AR25:AV27"/>
    <mergeCell ref="AW25:BA27"/>
    <mergeCell ref="BB25:BF27"/>
    <mergeCell ref="BG25:BK27"/>
    <mergeCell ref="AR23:AV24"/>
    <mergeCell ref="AW23:BA24"/>
    <mergeCell ref="BB23:BF24"/>
    <mergeCell ref="H30:H34"/>
    <mergeCell ref="I30:M32"/>
    <mergeCell ref="N30:R32"/>
    <mergeCell ref="S30:W32"/>
    <mergeCell ref="X30:AB32"/>
    <mergeCell ref="AC30:AG32"/>
    <mergeCell ref="AH30:AL32"/>
    <mergeCell ref="H25:H29"/>
    <mergeCell ref="AM30:AQ32"/>
    <mergeCell ref="AR30:AV32"/>
    <mergeCell ref="AW30:BA32"/>
    <mergeCell ref="BB30:BF32"/>
    <mergeCell ref="I33:M34"/>
    <mergeCell ref="N33:R34"/>
    <mergeCell ref="S33:W34"/>
    <mergeCell ref="X33:AB34"/>
    <mergeCell ref="AC33:AG34"/>
    <mergeCell ref="AH33:AL34"/>
    <mergeCell ref="BB18:BF19"/>
    <mergeCell ref="BG18:BK19"/>
    <mergeCell ref="BL18:BP19"/>
    <mergeCell ref="H20:H24"/>
    <mergeCell ref="I20:M22"/>
    <mergeCell ref="N20:R22"/>
    <mergeCell ref="S20:W22"/>
    <mergeCell ref="X20:AB22"/>
    <mergeCell ref="AC20:AG22"/>
    <mergeCell ref="AH20:AL22"/>
    <mergeCell ref="BG23:BK24"/>
    <mergeCell ref="BL23:BP24"/>
    <mergeCell ref="I23:M24"/>
    <mergeCell ref="N23:R24"/>
    <mergeCell ref="S23:W24"/>
    <mergeCell ref="X23:AB24"/>
    <mergeCell ref="AC23:AG24"/>
    <mergeCell ref="AH23:AL24"/>
    <mergeCell ref="AM20:AQ22"/>
    <mergeCell ref="AR20:AV22"/>
    <mergeCell ref="AW20:BA22"/>
    <mergeCell ref="BB20:BF22"/>
    <mergeCell ref="BG20:BK22"/>
    <mergeCell ref="BL20:BP22"/>
    <mergeCell ref="BG13:BK14"/>
    <mergeCell ref="BL13:BP14"/>
    <mergeCell ref="H15:H19"/>
    <mergeCell ref="I15:M17"/>
    <mergeCell ref="N15:R17"/>
    <mergeCell ref="S15:W17"/>
    <mergeCell ref="X15:AB17"/>
    <mergeCell ref="AC15:AG17"/>
    <mergeCell ref="BL15:BP17"/>
    <mergeCell ref="I18:M19"/>
    <mergeCell ref="N18:R19"/>
    <mergeCell ref="S18:W19"/>
    <mergeCell ref="X18:AB19"/>
    <mergeCell ref="AC18:AG19"/>
    <mergeCell ref="AH18:AL19"/>
    <mergeCell ref="AM18:AQ19"/>
    <mergeCell ref="AR18:AV19"/>
    <mergeCell ref="AW18:BA19"/>
    <mergeCell ref="AH15:AL17"/>
    <mergeCell ref="AM15:AQ17"/>
    <mergeCell ref="AR15:AV17"/>
    <mergeCell ref="AW15:BA17"/>
    <mergeCell ref="BB15:BF17"/>
    <mergeCell ref="BG15:BK17"/>
    <mergeCell ref="AR13:AV14"/>
    <mergeCell ref="AC10:AG12"/>
    <mergeCell ref="AH10:AL12"/>
    <mergeCell ref="AM10:AQ12"/>
    <mergeCell ref="AR10:AV12"/>
    <mergeCell ref="AW10:BA12"/>
    <mergeCell ref="BB10:BF12"/>
    <mergeCell ref="AW13:BA14"/>
    <mergeCell ref="BB13:BF14"/>
    <mergeCell ref="BL8:BP9"/>
    <mergeCell ref="H5:H9"/>
    <mergeCell ref="H10:H14"/>
    <mergeCell ref="I10:M12"/>
    <mergeCell ref="N10:R12"/>
    <mergeCell ref="S10:W12"/>
    <mergeCell ref="X10:AB12"/>
    <mergeCell ref="BB5:BF7"/>
    <mergeCell ref="BG5:BK7"/>
    <mergeCell ref="BL5:BP7"/>
    <mergeCell ref="N8:R9"/>
    <mergeCell ref="S8:W9"/>
    <mergeCell ref="X8:AB9"/>
    <mergeCell ref="AC8:AG9"/>
    <mergeCell ref="AH8:AL9"/>
    <mergeCell ref="AM8:AQ9"/>
    <mergeCell ref="AR8:AV9"/>
    <mergeCell ref="I5:M7"/>
    <mergeCell ref="I8:M9"/>
    <mergeCell ref="BG10:BK12"/>
    <mergeCell ref="BL10:BP12"/>
    <mergeCell ref="I13:M14"/>
    <mergeCell ref="N13:R14"/>
    <mergeCell ref="S13:W14"/>
    <mergeCell ref="BL4:BP4"/>
    <mergeCell ref="N5:R7"/>
    <mergeCell ref="S5:W7"/>
    <mergeCell ref="X5:AB7"/>
    <mergeCell ref="AC5:AG7"/>
    <mergeCell ref="AH5:AL7"/>
    <mergeCell ref="AM5:AQ7"/>
    <mergeCell ref="AR5:AV7"/>
    <mergeCell ref="AW5:BA7"/>
    <mergeCell ref="AC4:AG4"/>
    <mergeCell ref="AH4:AL4"/>
    <mergeCell ref="AM4:AQ4"/>
    <mergeCell ref="AR4:AV4"/>
    <mergeCell ref="AW4:BA4"/>
    <mergeCell ref="BB4:BF4"/>
    <mergeCell ref="AW8:BA9"/>
    <mergeCell ref="BB8:BF9"/>
    <mergeCell ref="BG8:BK9"/>
    <mergeCell ref="AM1:AP2"/>
    <mergeCell ref="D19:G20"/>
    <mergeCell ref="AM50:AP51"/>
    <mergeCell ref="G39:H40"/>
    <mergeCell ref="E39:F40"/>
    <mergeCell ref="C39:D40"/>
    <mergeCell ref="I4:M4"/>
    <mergeCell ref="N4:R4"/>
    <mergeCell ref="S4:W4"/>
    <mergeCell ref="X4:AB4"/>
    <mergeCell ref="X13:AB14"/>
    <mergeCell ref="AC13:AG14"/>
    <mergeCell ref="AH13:AL14"/>
    <mergeCell ref="AM13:AQ14"/>
    <mergeCell ref="I25:M27"/>
    <mergeCell ref="N25:R27"/>
    <mergeCell ref="S25:W27"/>
    <mergeCell ref="X25:AB27"/>
    <mergeCell ref="AC25:AG27"/>
    <mergeCell ref="AM23:AQ24"/>
    <mergeCell ref="BG4:BK4"/>
    <mergeCell ref="BY40:CD40"/>
    <mergeCell ref="BY41:CD43"/>
    <mergeCell ref="BY44:CD46"/>
    <mergeCell ref="BY47:CD48"/>
    <mergeCell ref="A54:CH56"/>
    <mergeCell ref="BQ39:BR40"/>
    <mergeCell ref="BS39:BT40"/>
    <mergeCell ref="BU39:BV40"/>
    <mergeCell ref="BS44:BT45"/>
    <mergeCell ref="AM38:AP39"/>
  </mergeCells>
  <phoneticPr fontId="1" type="noConversion"/>
  <pageMargins left="0.25" right="0.25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(5)</vt:lpstr>
      <vt:lpstr>Sheet1 (4)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2026-04-24T02:53:32Z</cp:lastPrinted>
  <dcterms:created xsi:type="dcterms:W3CDTF">2026-04-22T23:31:17Z</dcterms:created>
  <dcterms:modified xsi:type="dcterms:W3CDTF">2026-06-03T11:46:57Z</dcterms:modified>
</cp:coreProperties>
</file>