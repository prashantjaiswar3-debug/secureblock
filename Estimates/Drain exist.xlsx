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h\OneDrive\Desktop\"/>
    </mc:Choice>
  </mc:AlternateContent>
  <xr:revisionPtr revIDLastSave="0" documentId="13_ncr:1_{760CCA76-4823-42FF-B062-46A6DE2BF7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3)" sheetId="5" r:id="rId1"/>
    <sheet name="Sheet1 (2)" sheetId="4" r:id="rId2"/>
    <sheet name="Sheet1" sheetId="1" r:id="rId3"/>
    <sheet name="Sheet2" sheetId="2" r:id="rId4"/>
    <sheet name="Sheet3" sheetId="3" r:id="rId5"/>
  </sheets>
  <definedNames>
    <definedName name="_xlnm.Print_Area" localSheetId="2">Sheet1!$A$1:$Q$35</definedName>
    <definedName name="_xlnm.Print_Area" localSheetId="1">'Sheet1 (2)'!$A$1:$Q$35</definedName>
    <definedName name="_xlnm.Print_Area" localSheetId="0">'Sheet1 (3)'!$A$1:$Q$37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5" l="1"/>
  <c r="T12" i="5" s="1"/>
  <c r="T13" i="5" s="1"/>
  <c r="M33" i="5"/>
  <c r="E33" i="5"/>
  <c r="T6" i="5"/>
  <c r="T7" i="5" s="1"/>
  <c r="T8" i="5" s="1"/>
  <c r="T9" i="5" s="1"/>
  <c r="E31" i="1"/>
  <c r="M31" i="1"/>
  <c r="P28" i="4"/>
  <c r="T6" i="4"/>
  <c r="T7" i="4" s="1"/>
  <c r="T8" i="4" s="1"/>
  <c r="T9" i="4" s="1"/>
  <c r="T10" i="4" s="1"/>
  <c r="T11" i="4" s="1"/>
  <c r="T6" i="1"/>
  <c r="T7" i="1" s="1"/>
  <c r="T8" i="1" s="1"/>
  <c r="T9" i="1" s="1"/>
  <c r="T10" i="1" s="1"/>
  <c r="T11" i="1" s="1"/>
  <c r="I26" i="5" l="1"/>
  <c r="I24" i="1"/>
  <c r="A28" i="4"/>
  <c r="E31" i="4" l="1"/>
  <c r="M31" i="4" s="1"/>
  <c r="I24" i="4" l="1"/>
</calcChain>
</file>

<file path=xl/sharedStrings.xml><?xml version="1.0" encoding="utf-8"?>
<sst xmlns="http://schemas.openxmlformats.org/spreadsheetml/2006/main" count="29" uniqueCount="13">
  <si>
    <t>Gram Panchayat :</t>
  </si>
  <si>
    <t>Name of work :</t>
  </si>
  <si>
    <t xml:space="preserve">Length in meters </t>
  </si>
  <si>
    <t>Proposed line</t>
  </si>
  <si>
    <t>Ground Level</t>
  </si>
  <si>
    <t>Exist line</t>
  </si>
  <si>
    <t>L - section plan of site.</t>
  </si>
  <si>
    <t>C - section plan of site.</t>
  </si>
  <si>
    <t>1.00:0.50</t>
  </si>
  <si>
    <t>1:0.50</t>
  </si>
  <si>
    <t>3156002079/FP/YD/958486255823619377 - GP HASANPUR ME RAMWADH KE KHET SE JIUT BANDHAN KE KHET TAK BAHA KHUDAI O SAFAI KARY</t>
  </si>
  <si>
    <t>3156002023/LD/YD/958486255825010928 - GP FULPUR ME GARIB KE CHAK SE DHOBI GHAT TAK NALA KHUDAI KARY</t>
  </si>
  <si>
    <t>3156002008/FP/YD/958486255823619426 - GP BEALULI ME KAILASH KE CHAK SE FARHI NALA TAK BAHA SAFAI KARY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</si>
</sst>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u/>
      <sz val="20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 diagonalDown="1">
      <left/>
      <right/>
      <top/>
      <bottom/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 diagonalDown="1">
      <left style="dotted">
        <color indexed="64"/>
      </left>
      <right/>
      <top style="thin">
        <color indexed="64"/>
      </top>
      <bottom/>
      <diagonal style="thin">
        <color auto="1"/>
      </diagonal>
    </border>
    <border diagonalUp="1">
      <left/>
      <right style="dotted">
        <color indexed="64"/>
      </right>
      <top style="thin">
        <color indexed="64"/>
      </top>
      <bottom/>
      <diagonal style="thin">
        <color auto="1"/>
      </diagonal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 diagonalDown="1">
      <left/>
      <right style="dotted">
        <color indexed="64"/>
      </right>
      <top/>
      <bottom style="dotted">
        <color indexed="64"/>
      </bottom>
      <diagonal style="thin">
        <color auto="1"/>
      </diagonal>
    </border>
    <border diagonalUp="1">
      <left style="dotted">
        <color indexed="64"/>
      </left>
      <right/>
      <top/>
      <bottom style="dotted">
        <color indexed="64"/>
      </bottom>
      <diagonal style="thin">
        <color auto="1"/>
      </diagonal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0" borderId="8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vertical="center"/>
    </xf>
    <xf numFmtId="2" fontId="4" fillId="0" borderId="5" xfId="0" applyNumberFormat="1" applyFont="1" applyBorder="1" applyAlignment="1">
      <alignment vertical="center"/>
    </xf>
    <xf numFmtId="2" fontId="4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indent="1"/>
    </xf>
    <xf numFmtId="0" fontId="1" fillId="0" borderId="24" xfId="0" applyFont="1" applyBorder="1" applyAlignment="1">
      <alignment horizontal="left" vertical="top" wrapText="1" indent="1"/>
    </xf>
    <xf numFmtId="0" fontId="1" fillId="0" borderId="14" xfId="0" applyFont="1" applyBorder="1" applyAlignment="1">
      <alignment horizontal="left" vertical="top" wrapText="1" indent="1"/>
    </xf>
    <xf numFmtId="0" fontId="3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9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horizontal="left" vertical="center" wrapText="1" indent="1"/>
    </xf>
    <xf numFmtId="0" fontId="1" fillId="0" borderId="0" xfId="0" applyFont="1"/>
    <xf numFmtId="0" fontId="1" fillId="0" borderId="14" xfId="0" applyFont="1" applyBorder="1" applyAlignment="1">
      <alignment horizontal="left" indent="1"/>
    </xf>
    <xf numFmtId="0" fontId="1" fillId="0" borderId="15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4567807844991"/>
          <c:y val="4.6260498687663965E-2"/>
          <c:w val="0.78520143497346673"/>
          <c:h val="0.64781266404199478"/>
        </c:manualLayout>
      </c:layout>
      <c:lineChart>
        <c:grouping val="standard"/>
        <c:varyColors val="0"/>
        <c:ser>
          <c:idx val="1"/>
          <c:order val="1"/>
          <c:tx>
            <c:strRef>
              <c:f>'Sheet1 (3)'!$V$4</c:f>
              <c:strCache>
                <c:ptCount val="1"/>
                <c:pt idx="0">
                  <c:v>Exist line</c:v>
                </c:pt>
              </c:strCache>
            </c:strRef>
          </c:tx>
          <c:dLbls>
            <c:spPr>
              <a:ln cap="rnd">
                <a:miter lim="800000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'Sheet1 (3)'!$S$5:$S$13</c:f>
              <c:numCache>
                <c:formatCode>0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750</c:v>
                </c:pt>
              </c:numCache>
            </c:numRef>
          </c:cat>
          <c:val>
            <c:numRef>
              <c:f>'Sheet1 (3)'!$V$5:$V$13</c:f>
              <c:numCache>
                <c:formatCode>0.00</c:formatCode>
                <c:ptCount val="9"/>
                <c:pt idx="0">
                  <c:v>0.52</c:v>
                </c:pt>
                <c:pt idx="1">
                  <c:v>0.59</c:v>
                </c:pt>
                <c:pt idx="2">
                  <c:v>0.62</c:v>
                </c:pt>
                <c:pt idx="3">
                  <c:v>0.55000000000000004</c:v>
                </c:pt>
                <c:pt idx="4">
                  <c:v>0.48</c:v>
                </c:pt>
                <c:pt idx="5">
                  <c:v>0.48</c:v>
                </c:pt>
                <c:pt idx="6">
                  <c:v>0.5</c:v>
                </c:pt>
                <c:pt idx="7">
                  <c:v>0.63</c:v>
                </c:pt>
                <c:pt idx="8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C-42C4-8EE3-508B018CCB96}"/>
            </c:ext>
          </c:extLst>
        </c:ser>
        <c:ser>
          <c:idx val="0"/>
          <c:order val="0"/>
          <c:tx>
            <c:strRef>
              <c:f>'Sheet1 (3)'!$T$4</c:f>
              <c:strCache>
                <c:ptCount val="1"/>
                <c:pt idx="0">
                  <c:v>Proposed line</c:v>
                </c:pt>
              </c:strCache>
            </c:strRef>
          </c:tx>
          <c:cat>
            <c:numRef>
              <c:f>'Sheet1 (3)'!$S$5:$S$13</c:f>
              <c:numCache>
                <c:formatCode>0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750</c:v>
                </c:pt>
              </c:numCache>
            </c:numRef>
          </c:cat>
          <c:val>
            <c:numRef>
              <c:f>'Sheet1 (3)'!$T$5:$T$13</c:f>
              <c:numCache>
                <c:formatCode>0.00</c:formatCode>
                <c:ptCount val="9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CC-42C4-8EE3-508B018CCB96}"/>
            </c:ext>
          </c:extLst>
        </c:ser>
        <c:ser>
          <c:idx val="2"/>
          <c:order val="2"/>
          <c:tx>
            <c:strRef>
              <c:f>'Sheet1 (3)'!$U$4</c:f>
              <c:strCache>
                <c:ptCount val="1"/>
                <c:pt idx="0">
                  <c:v>Ground Level</c:v>
                </c:pt>
              </c:strCache>
            </c:strRef>
          </c:tx>
          <c:cat>
            <c:numRef>
              <c:f>'Sheet1 (3)'!$S$5:$S$13</c:f>
              <c:numCache>
                <c:formatCode>0</c:formatCode>
                <c:ptCount val="9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750</c:v>
                </c:pt>
              </c:numCache>
            </c:numRef>
          </c:cat>
          <c:val>
            <c:numRef>
              <c:f>'Sheet1 (3)'!$U$5:$U$13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CC-42C4-8EE3-508B018CC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74144"/>
        <c:axId val="48375680"/>
      </c:lineChart>
      <c:catAx>
        <c:axId val="48374144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crossAx val="48375680"/>
        <c:crosses val="autoZero"/>
        <c:auto val="1"/>
        <c:lblAlgn val="ctr"/>
        <c:lblOffset val="100"/>
        <c:noMultiLvlLbl val="0"/>
      </c:catAx>
      <c:valAx>
        <c:axId val="48375680"/>
        <c:scaling>
          <c:orientation val="maxMin"/>
          <c:max val="1.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600">
                    <a:latin typeface="Times New Roman" pitchFamily="18" charset="0"/>
                    <a:cs typeface="Times New Roman" pitchFamily="18" charset="0"/>
                  </a:rPr>
                  <a:t>Depth in meters</a:t>
                </a:r>
              </a:p>
            </c:rich>
          </c:tx>
          <c:overlay val="0"/>
        </c:title>
        <c:numFmt formatCode="0.00" sourceLinked="1"/>
        <c:majorTickMark val="in"/>
        <c:minorTickMark val="in"/>
        <c:tickLblPos val="low"/>
        <c:crossAx val="48374144"/>
        <c:crosses val="autoZero"/>
        <c:crossBetween val="between"/>
        <c:majorUnit val="0.30000000000000032"/>
        <c:minorUnit val="0.15000000000000022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4567807844991"/>
          <c:y val="4.6260498687663965E-2"/>
          <c:w val="0.78520143497346673"/>
          <c:h val="0.64781266404199478"/>
        </c:manualLayout>
      </c:layout>
      <c:lineChart>
        <c:grouping val="standard"/>
        <c:varyColors val="0"/>
        <c:ser>
          <c:idx val="1"/>
          <c:order val="1"/>
          <c:tx>
            <c:strRef>
              <c:f>'Sheet1 (2)'!$V$4</c:f>
              <c:strCache>
                <c:ptCount val="1"/>
                <c:pt idx="0">
                  <c:v>Exist line</c:v>
                </c:pt>
              </c:strCache>
            </c:strRef>
          </c:tx>
          <c:dLbls>
            <c:spPr>
              <a:ln cap="rnd">
                <a:miter lim="800000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'Sheet1 (2)'!$S$5:$S$11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'Sheet1 (2)'!$V$5:$V$11</c:f>
              <c:numCache>
                <c:formatCode>0.00</c:formatCode>
                <c:ptCount val="6"/>
                <c:pt idx="0">
                  <c:v>1.34</c:v>
                </c:pt>
                <c:pt idx="1">
                  <c:v>1.4</c:v>
                </c:pt>
                <c:pt idx="2">
                  <c:v>1.38</c:v>
                </c:pt>
                <c:pt idx="3">
                  <c:v>1.35</c:v>
                </c:pt>
                <c:pt idx="4">
                  <c:v>1.35</c:v>
                </c:pt>
                <c:pt idx="5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D-40F8-9CEA-9F3935A3184B}"/>
            </c:ext>
          </c:extLst>
        </c:ser>
        <c:ser>
          <c:idx val="0"/>
          <c:order val="0"/>
          <c:tx>
            <c:strRef>
              <c:f>'Sheet1 (2)'!$T$4</c:f>
              <c:strCache>
                <c:ptCount val="1"/>
                <c:pt idx="0">
                  <c:v>Proposed line</c:v>
                </c:pt>
              </c:strCache>
            </c:strRef>
          </c:tx>
          <c:cat>
            <c:numRef>
              <c:f>'Sheet1 (2)'!$S$5:$S$11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'Sheet1 (2)'!$T$5:$T$11</c:f>
              <c:numCache>
                <c:formatCode>0.00</c:formatCode>
                <c:ptCount val="6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D-40F8-9CEA-9F3935A3184B}"/>
            </c:ext>
          </c:extLst>
        </c:ser>
        <c:ser>
          <c:idx val="2"/>
          <c:order val="2"/>
          <c:tx>
            <c:strRef>
              <c:f>'Sheet1 (2)'!$U$4</c:f>
              <c:strCache>
                <c:ptCount val="1"/>
                <c:pt idx="0">
                  <c:v>Ground Level</c:v>
                </c:pt>
              </c:strCache>
            </c:strRef>
          </c:tx>
          <c:cat>
            <c:numRef>
              <c:f>'Sheet1 (2)'!$S$5:$S$11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'Sheet1 (2)'!$U$5:$U$11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4D-40F8-9CEA-9F3935A31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74144"/>
        <c:axId val="48375680"/>
      </c:lineChart>
      <c:catAx>
        <c:axId val="48374144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crossAx val="48375680"/>
        <c:crosses val="autoZero"/>
        <c:auto val="1"/>
        <c:lblAlgn val="ctr"/>
        <c:lblOffset val="100"/>
        <c:noMultiLvlLbl val="0"/>
      </c:catAx>
      <c:valAx>
        <c:axId val="48375680"/>
        <c:scaling>
          <c:orientation val="maxMin"/>
          <c:max val="1.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600">
                    <a:latin typeface="Times New Roman" pitchFamily="18" charset="0"/>
                    <a:cs typeface="Times New Roman" pitchFamily="18" charset="0"/>
                  </a:rPr>
                  <a:t>Depth in meters</a:t>
                </a:r>
              </a:p>
            </c:rich>
          </c:tx>
          <c:overlay val="0"/>
        </c:title>
        <c:numFmt formatCode="0.00" sourceLinked="1"/>
        <c:majorTickMark val="in"/>
        <c:minorTickMark val="in"/>
        <c:tickLblPos val="low"/>
        <c:crossAx val="48374144"/>
        <c:crosses val="autoZero"/>
        <c:crossBetween val="between"/>
        <c:majorUnit val="0.30000000000000032"/>
        <c:minorUnit val="0.15000000000000022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4567807844991"/>
          <c:y val="4.6260498687663965E-2"/>
          <c:w val="0.78520143497346673"/>
          <c:h val="0.64781266404199478"/>
        </c:manualLayout>
      </c:layout>
      <c:lineChart>
        <c:grouping val="standard"/>
        <c:varyColors val="0"/>
        <c:ser>
          <c:idx val="1"/>
          <c:order val="1"/>
          <c:tx>
            <c:strRef>
              <c:f>Sheet1!$V$4</c:f>
              <c:strCache>
                <c:ptCount val="1"/>
                <c:pt idx="0">
                  <c:v>Exist line</c:v>
                </c:pt>
              </c:strCache>
            </c:strRef>
          </c:tx>
          <c:dLbls>
            <c:spPr>
              <a:ln cap="rnd">
                <a:miter lim="800000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Sheet1!$V$5:$V$11</c:f>
              <c:numCache>
                <c:formatCode>0.00</c:formatCode>
                <c:ptCount val="6"/>
                <c:pt idx="0">
                  <c:v>1.1399999999999999</c:v>
                </c:pt>
                <c:pt idx="1">
                  <c:v>0.94</c:v>
                </c:pt>
                <c:pt idx="2">
                  <c:v>1.18</c:v>
                </c:pt>
                <c:pt idx="3">
                  <c:v>1.1499999999999999</c:v>
                </c:pt>
                <c:pt idx="4">
                  <c:v>1.1499999999999999</c:v>
                </c:pt>
                <c:pt idx="5">
                  <c:v>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D-47E5-BB82-C2228FDBE734}"/>
            </c:ext>
          </c:extLst>
        </c:ser>
        <c:ser>
          <c:idx val="0"/>
          <c:order val="0"/>
          <c:tx>
            <c:strRef>
              <c:f>Sheet1!$T$4</c:f>
              <c:strCache>
                <c:ptCount val="1"/>
                <c:pt idx="0">
                  <c:v>Proposed line</c:v>
                </c:pt>
              </c:strCache>
            </c:strRef>
          </c:tx>
          <c:cat>
            <c:numRef>
              <c:f>Sheet1!$S$5:$S$11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Sheet1!$T$5:$T$11</c:f>
              <c:numCache>
                <c:formatCode>0.00</c:formatCode>
                <c:ptCount val="6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D-47E5-BB82-C2228FDBE734}"/>
            </c:ext>
          </c:extLst>
        </c:ser>
        <c:ser>
          <c:idx val="2"/>
          <c:order val="2"/>
          <c:tx>
            <c:strRef>
              <c:f>Sheet1!$U$4</c:f>
              <c:strCache>
                <c:ptCount val="1"/>
                <c:pt idx="0">
                  <c:v>Ground Level</c:v>
                </c:pt>
              </c:strCache>
            </c:strRef>
          </c:tx>
          <c:cat>
            <c:numRef>
              <c:f>Sheet1!$S$5:$S$11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Sheet1!$U$5:$U$11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D-47E5-BB82-C2228FDB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74144"/>
        <c:axId val="48375680"/>
      </c:lineChart>
      <c:catAx>
        <c:axId val="48374144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crossAx val="48375680"/>
        <c:crosses val="autoZero"/>
        <c:auto val="1"/>
        <c:lblAlgn val="ctr"/>
        <c:lblOffset val="100"/>
        <c:noMultiLvlLbl val="0"/>
      </c:catAx>
      <c:valAx>
        <c:axId val="48375680"/>
        <c:scaling>
          <c:orientation val="maxMin"/>
          <c:max val="1.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600">
                    <a:latin typeface="Times New Roman" pitchFamily="18" charset="0"/>
                    <a:cs typeface="Times New Roman" pitchFamily="18" charset="0"/>
                  </a:rPr>
                  <a:t>Depth in meters</a:t>
                </a:r>
              </a:p>
            </c:rich>
          </c:tx>
          <c:overlay val="0"/>
        </c:title>
        <c:numFmt formatCode="0.00" sourceLinked="1"/>
        <c:majorTickMark val="in"/>
        <c:minorTickMark val="in"/>
        <c:tickLblPos val="low"/>
        <c:crossAx val="48374144"/>
        <c:crosses val="autoZero"/>
        <c:crossBetween val="between"/>
        <c:majorUnit val="0.30000000000000032"/>
        <c:minorUnit val="0.15000000000000022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0</xdr:rowOff>
    </xdr:from>
    <xdr:to>
      <xdr:col>16</xdr:col>
      <xdr:colOff>209550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765C9-4434-49E2-A222-5FA44DDD6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0</xdr:rowOff>
    </xdr:from>
    <xdr:to>
      <xdr:col>16</xdr:col>
      <xdr:colOff>209550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E90C4-6E60-4C2A-8502-B35D07BB3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0</xdr:rowOff>
    </xdr:from>
    <xdr:to>
      <xdr:col>16</xdr:col>
      <xdr:colOff>209550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6B2E-C54A-4CB3-BC5A-2EF9D69280B5}">
  <sheetPr>
    <pageSetUpPr fitToPage="1"/>
  </sheetPr>
  <dimension ref="A1:V36"/>
  <sheetViews>
    <sheetView tabSelected="1" workbookViewId="0">
      <selection activeCell="O25" sqref="O25"/>
    </sheetView>
  </sheetViews>
  <sheetFormatPr defaultColWidth="5.7109375" defaultRowHeight="15" x14ac:dyDescent="0.25"/>
  <cols>
    <col min="1" max="3" width="3.28515625" style="1" customWidth="1"/>
    <col min="4" max="14" width="5.7109375" style="1" customWidth="1"/>
    <col min="15" max="17" width="3.28515625" style="1" customWidth="1"/>
    <col min="18" max="16384" width="5.7109375" style="1"/>
  </cols>
  <sheetData>
    <row r="1" spans="1:22" ht="33.75" customHeight="1" x14ac:dyDescent="0.25">
      <c r="A1" s="38" t="s">
        <v>1</v>
      </c>
      <c r="B1" s="38"/>
      <c r="C1" s="38"/>
      <c r="D1" s="38"/>
      <c r="E1" s="39" t="s">
        <v>12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22" ht="3" customHeight="1" x14ac:dyDescent="0.25">
      <c r="A2" s="38"/>
      <c r="B2" s="38"/>
      <c r="C2" s="38"/>
      <c r="D2" s="38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4" spans="1:22" x14ac:dyDescent="0.25"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S4" s="1" t="s">
        <v>2</v>
      </c>
      <c r="T4" s="1" t="s">
        <v>3</v>
      </c>
      <c r="U4" s="1" t="s">
        <v>4</v>
      </c>
      <c r="V4" s="1" t="s">
        <v>5</v>
      </c>
    </row>
    <row r="5" spans="1:22" x14ac:dyDescent="0.25">
      <c r="S5" s="2">
        <v>0</v>
      </c>
      <c r="T5" s="3">
        <v>1.5</v>
      </c>
      <c r="U5" s="3">
        <v>0</v>
      </c>
      <c r="V5" s="3">
        <v>0.52</v>
      </c>
    </row>
    <row r="6" spans="1:22" x14ac:dyDescent="0.25">
      <c r="C6" s="2"/>
      <c r="D6" s="3"/>
      <c r="E6" s="3"/>
      <c r="F6" s="3"/>
      <c r="S6" s="2">
        <v>100</v>
      </c>
      <c r="T6" s="3">
        <f t="shared" ref="T6:T13" si="0">T5</f>
        <v>1.5</v>
      </c>
      <c r="U6" s="3">
        <v>0</v>
      </c>
      <c r="V6" s="3">
        <v>0.59</v>
      </c>
    </row>
    <row r="7" spans="1:22" x14ac:dyDescent="0.25">
      <c r="C7" s="2"/>
      <c r="D7" s="3"/>
      <c r="E7" s="3"/>
      <c r="F7" s="3"/>
      <c r="S7" s="2">
        <v>200</v>
      </c>
      <c r="T7" s="3">
        <f t="shared" si="0"/>
        <v>1.5</v>
      </c>
      <c r="U7" s="3">
        <v>0</v>
      </c>
      <c r="V7" s="3">
        <v>0.62</v>
      </c>
    </row>
    <row r="8" spans="1:22" x14ac:dyDescent="0.25">
      <c r="C8" s="2"/>
      <c r="D8" s="3"/>
      <c r="E8" s="3"/>
      <c r="F8" s="3"/>
      <c r="S8" s="2">
        <v>300</v>
      </c>
      <c r="T8" s="3">
        <f t="shared" si="0"/>
        <v>1.5</v>
      </c>
      <c r="U8" s="3">
        <v>0</v>
      </c>
      <c r="V8" s="3">
        <v>0.55000000000000004</v>
      </c>
    </row>
    <row r="9" spans="1:22" x14ac:dyDescent="0.25">
      <c r="C9" s="2"/>
      <c r="D9" s="3"/>
      <c r="E9" s="3"/>
      <c r="F9" s="3"/>
      <c r="S9" s="2">
        <v>400</v>
      </c>
      <c r="T9" s="3">
        <f t="shared" si="0"/>
        <v>1.5</v>
      </c>
      <c r="U9" s="3">
        <v>0</v>
      </c>
      <c r="V9" s="3">
        <v>0.48</v>
      </c>
    </row>
    <row r="10" spans="1:22" x14ac:dyDescent="0.25">
      <c r="C10" s="2"/>
      <c r="D10" s="3"/>
      <c r="E10" s="3"/>
      <c r="F10" s="3"/>
      <c r="S10" s="2">
        <v>500</v>
      </c>
      <c r="T10" s="3">
        <v>1.5</v>
      </c>
      <c r="U10" s="3">
        <v>0</v>
      </c>
      <c r="V10" s="3">
        <v>0.48</v>
      </c>
    </row>
    <row r="11" spans="1:22" x14ac:dyDescent="0.25">
      <c r="C11" s="2"/>
      <c r="D11" s="3"/>
      <c r="E11" s="3"/>
      <c r="F11" s="3"/>
      <c r="S11" s="2">
        <v>600</v>
      </c>
      <c r="T11" s="3">
        <f t="shared" si="0"/>
        <v>1.5</v>
      </c>
      <c r="U11" s="3">
        <v>0</v>
      </c>
      <c r="V11" s="3">
        <v>0.5</v>
      </c>
    </row>
    <row r="12" spans="1:22" x14ac:dyDescent="0.25">
      <c r="C12" s="2"/>
      <c r="D12" s="3"/>
      <c r="E12" s="3"/>
      <c r="F12" s="3"/>
      <c r="S12" s="2">
        <v>700</v>
      </c>
      <c r="T12" s="3">
        <f t="shared" si="0"/>
        <v>1.5</v>
      </c>
      <c r="U12" s="3">
        <v>0</v>
      </c>
      <c r="V12" s="3">
        <v>0.63</v>
      </c>
    </row>
    <row r="13" spans="1:22" ht="15" customHeight="1" x14ac:dyDescent="0.25">
      <c r="C13" s="2"/>
      <c r="D13" s="3"/>
      <c r="E13" s="3"/>
      <c r="F13" s="3"/>
      <c r="S13" s="2">
        <v>750</v>
      </c>
      <c r="T13" s="3">
        <f t="shared" si="0"/>
        <v>1.5</v>
      </c>
      <c r="U13" s="3">
        <v>0</v>
      </c>
      <c r="V13" s="3">
        <v>0.68</v>
      </c>
    </row>
    <row r="14" spans="1:22" x14ac:dyDescent="0.25">
      <c r="C14" s="2"/>
      <c r="D14" s="3"/>
      <c r="E14" s="3"/>
      <c r="F14" s="3"/>
    </row>
    <row r="19" spans="1:17" x14ac:dyDescent="0.25">
      <c r="D19" s="4"/>
      <c r="E19" s="4"/>
      <c r="F19" s="4"/>
      <c r="G19" s="4"/>
      <c r="H19" s="4"/>
      <c r="I19" s="4"/>
    </row>
    <row r="20" spans="1:17" x14ac:dyDescent="0.25">
      <c r="F20" s="3"/>
      <c r="G20" s="3"/>
    </row>
    <row r="21" spans="1:17" x14ac:dyDescent="0.25">
      <c r="F21" s="3"/>
      <c r="G21" s="3"/>
    </row>
    <row r="22" spans="1:17" x14ac:dyDescent="0.25">
      <c r="F22" s="3"/>
      <c r="G22" s="3"/>
    </row>
    <row r="23" spans="1:17" x14ac:dyDescent="0.25">
      <c r="F23" s="3"/>
      <c r="G23" s="3"/>
    </row>
    <row r="24" spans="1:17" ht="26.25" x14ac:dyDescent="0.25">
      <c r="A24" s="41" t="s">
        <v>6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 x14ac:dyDescent="0.25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5">
      <c r="C26" s="5"/>
      <c r="D26" s="6"/>
      <c r="E26" s="15"/>
      <c r="F26" s="13"/>
      <c r="G26" s="13"/>
      <c r="H26" s="15"/>
      <c r="I26" s="42">
        <f>E33+I33+M33</f>
        <v>4</v>
      </c>
      <c r="J26" s="15"/>
      <c r="K26" s="13"/>
      <c r="L26" s="13"/>
      <c r="M26" s="15"/>
      <c r="N26" s="7"/>
      <c r="O26" s="5"/>
      <c r="P26" s="5"/>
      <c r="Q26" s="5"/>
    </row>
    <row r="27" spans="1:17" x14ac:dyDescent="0.25">
      <c r="C27" s="5"/>
      <c r="D27" s="11"/>
      <c r="E27" s="16"/>
      <c r="F27" s="10"/>
      <c r="G27" s="10"/>
      <c r="H27" s="16"/>
      <c r="I27" s="43"/>
      <c r="J27" s="16"/>
      <c r="K27" s="10"/>
      <c r="L27" s="10"/>
      <c r="M27" s="16"/>
      <c r="N27" s="19"/>
      <c r="O27" s="5"/>
      <c r="P27" s="5"/>
      <c r="Q27" s="5"/>
    </row>
    <row r="28" spans="1:17" x14ac:dyDescent="0.25">
      <c r="C28" s="2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24"/>
      <c r="P28" s="5"/>
      <c r="Q28" s="5"/>
    </row>
    <row r="29" spans="1:17" ht="60" customHeight="1" x14ac:dyDescent="0.25">
      <c r="A29" s="10"/>
      <c r="B29" s="11"/>
      <c r="C29" s="5"/>
      <c r="D29" s="20"/>
      <c r="E29" s="10"/>
      <c r="F29" s="21"/>
      <c r="G29" s="48"/>
      <c r="H29" s="49"/>
      <c r="I29" s="30"/>
      <c r="J29" s="50"/>
      <c r="K29" s="51"/>
      <c r="L29" s="22"/>
      <c r="M29" s="10"/>
      <c r="N29" s="23"/>
      <c r="O29" s="5"/>
      <c r="P29" s="10"/>
      <c r="Q29" s="11"/>
    </row>
    <row r="30" spans="1:17" ht="60" customHeight="1" x14ac:dyDescent="0.25">
      <c r="A30" s="43">
        <v>1.5</v>
      </c>
      <c r="B30" s="43"/>
      <c r="C30" s="5"/>
      <c r="D30" s="31"/>
      <c r="E30" s="18"/>
      <c r="F30" s="5"/>
      <c r="G30" s="52"/>
      <c r="H30" s="53"/>
      <c r="I30" s="5"/>
      <c r="J30" s="53"/>
      <c r="K30" s="54"/>
      <c r="L30" s="55" t="s">
        <v>9</v>
      </c>
      <c r="M30" s="56"/>
      <c r="N30" s="57"/>
      <c r="O30" s="12"/>
      <c r="P30" s="43">
        <v>1.5</v>
      </c>
      <c r="Q30" s="43"/>
    </row>
    <row r="31" spans="1:17" ht="60" customHeight="1" x14ac:dyDescent="0.25">
      <c r="A31" s="13"/>
      <c r="B31" s="14"/>
      <c r="C31" s="24"/>
      <c r="D31" s="25"/>
      <c r="E31" s="24"/>
      <c r="F31" s="26"/>
      <c r="G31" s="44"/>
      <c r="H31" s="45"/>
      <c r="I31" s="29"/>
      <c r="J31" s="46"/>
      <c r="K31" s="47"/>
      <c r="L31" s="27"/>
      <c r="M31" s="24"/>
      <c r="N31" s="28"/>
      <c r="O31" s="25"/>
      <c r="P31" s="13"/>
      <c r="Q31" s="14"/>
    </row>
    <row r="32" spans="1:17" x14ac:dyDescent="0.25">
      <c r="C32" s="5"/>
      <c r="D32" s="5"/>
      <c r="E32" s="5"/>
      <c r="F32" s="5"/>
      <c r="G32" s="5"/>
      <c r="H32" s="5"/>
      <c r="I32" s="10"/>
      <c r="J32" s="5"/>
      <c r="K32" s="5"/>
      <c r="L32" s="5"/>
      <c r="M32" s="5"/>
      <c r="N32" s="5"/>
      <c r="O32" s="5"/>
      <c r="P32" s="5"/>
      <c r="Q32" s="5"/>
    </row>
    <row r="33" spans="1:17" x14ac:dyDescent="0.25">
      <c r="C33" s="5"/>
      <c r="D33" s="14"/>
      <c r="E33" s="42">
        <f>A30/2</f>
        <v>0.75</v>
      </c>
      <c r="F33" s="32"/>
      <c r="G33" s="6"/>
      <c r="H33" s="15"/>
      <c r="I33" s="43">
        <v>2.5</v>
      </c>
      <c r="J33" s="15"/>
      <c r="K33" s="7"/>
      <c r="L33" s="14"/>
      <c r="M33" s="42">
        <f>P30/2</f>
        <v>0.75</v>
      </c>
      <c r="N33" s="32"/>
      <c r="O33" s="5"/>
      <c r="P33" s="5"/>
      <c r="Q33" s="5"/>
    </row>
    <row r="34" spans="1:17" x14ac:dyDescent="0.25">
      <c r="C34" s="5"/>
      <c r="D34" s="33"/>
      <c r="E34" s="43"/>
      <c r="F34" s="34"/>
      <c r="G34" s="8"/>
      <c r="H34" s="16"/>
      <c r="I34" s="43"/>
      <c r="J34" s="16"/>
      <c r="K34" s="9"/>
      <c r="L34" s="33"/>
      <c r="M34" s="43"/>
      <c r="N34" s="34"/>
      <c r="O34" s="5"/>
      <c r="P34" s="5"/>
      <c r="Q34" s="5"/>
    </row>
    <row r="35" spans="1:17" x14ac:dyDescent="0.25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26.25" x14ac:dyDescent="0.25">
      <c r="A36" s="41" t="s">
        <v>7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</row>
  </sheetData>
  <mergeCells count="17">
    <mergeCell ref="E33:E34"/>
    <mergeCell ref="I33:I34"/>
    <mergeCell ref="M33:M34"/>
    <mergeCell ref="A36:Q36"/>
    <mergeCell ref="A30:B30"/>
    <mergeCell ref="G30:H30"/>
    <mergeCell ref="J30:K30"/>
    <mergeCell ref="L30:N30"/>
    <mergeCell ref="P30:Q30"/>
    <mergeCell ref="G31:H31"/>
    <mergeCell ref="J31:K31"/>
    <mergeCell ref="A1:D2"/>
    <mergeCell ref="E1:Q2"/>
    <mergeCell ref="A24:Q24"/>
    <mergeCell ref="I26:I27"/>
    <mergeCell ref="G29:H29"/>
    <mergeCell ref="J29:K29"/>
  </mergeCells>
  <pageMargins left="0.7" right="0.47" top="0.73" bottom="0.8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B9E-DBFB-4A75-8F0F-35E34DCAA3FF}">
  <sheetPr>
    <pageSetUpPr fitToPage="1"/>
  </sheetPr>
  <dimension ref="A1:AH34"/>
  <sheetViews>
    <sheetView topLeftCell="A27" workbookViewId="0">
      <selection activeCell="V1" sqref="V1:AH2"/>
    </sheetView>
  </sheetViews>
  <sheetFormatPr defaultColWidth="5.7109375" defaultRowHeight="15" x14ac:dyDescent="0.25"/>
  <cols>
    <col min="1" max="16384" width="5.7109375" style="1"/>
  </cols>
  <sheetData>
    <row r="1" spans="1:34" x14ac:dyDescent="0.25">
      <c r="A1" s="58" t="s">
        <v>1</v>
      </c>
      <c r="B1" s="58"/>
      <c r="C1" s="58"/>
      <c r="D1" s="58"/>
      <c r="E1" s="59" t="s">
        <v>10</v>
      </c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1" t="s">
        <v>0</v>
      </c>
      <c r="S1" s="61"/>
      <c r="T1" s="61"/>
      <c r="U1" s="61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58"/>
      <c r="B2" s="58"/>
      <c r="C2" s="58"/>
      <c r="D2" s="58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1</v>
      </c>
      <c r="S2" s="61"/>
      <c r="T2" s="61"/>
      <c r="U2" s="61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</row>
    <row r="3" spans="1:34" x14ac:dyDescent="0.25">
      <c r="A3" s="35"/>
      <c r="B3" s="35"/>
      <c r="C3" s="35"/>
      <c r="D3" s="35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</row>
    <row r="4" spans="1:34" x14ac:dyDescent="0.25"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S4" s="1" t="s">
        <v>2</v>
      </c>
      <c r="T4" s="1" t="s">
        <v>3</v>
      </c>
      <c r="U4" s="1" t="s">
        <v>4</v>
      </c>
      <c r="V4" s="1" t="s">
        <v>5</v>
      </c>
    </row>
    <row r="5" spans="1:34" x14ac:dyDescent="0.25">
      <c r="S5" s="2">
        <v>0</v>
      </c>
      <c r="T5" s="3">
        <v>1.5</v>
      </c>
      <c r="U5" s="3">
        <v>0</v>
      </c>
      <c r="V5" s="3">
        <v>1.34</v>
      </c>
    </row>
    <row r="6" spans="1:34" x14ac:dyDescent="0.25">
      <c r="C6" s="2"/>
      <c r="D6" s="3"/>
      <c r="E6" s="3"/>
      <c r="F6" s="3"/>
      <c r="S6" s="2">
        <v>50</v>
      </c>
      <c r="T6" s="3">
        <f t="shared" ref="T6:T11" si="0">T5</f>
        <v>1.5</v>
      </c>
      <c r="U6" s="3">
        <v>0</v>
      </c>
      <c r="V6" s="3">
        <v>1.4</v>
      </c>
    </row>
    <row r="7" spans="1:34" x14ac:dyDescent="0.25">
      <c r="C7" s="2"/>
      <c r="D7" s="3"/>
      <c r="E7" s="3"/>
      <c r="F7" s="3"/>
      <c r="S7" s="2">
        <v>100</v>
      </c>
      <c r="T7" s="3">
        <f t="shared" si="0"/>
        <v>1.5</v>
      </c>
      <c r="U7" s="3">
        <v>0</v>
      </c>
      <c r="V7" s="3">
        <v>1.38</v>
      </c>
    </row>
    <row r="8" spans="1:34" x14ac:dyDescent="0.25">
      <c r="C8" s="2"/>
      <c r="D8" s="3"/>
      <c r="E8" s="3"/>
      <c r="F8" s="3"/>
      <c r="S8" s="2">
        <v>150</v>
      </c>
      <c r="T8" s="3">
        <f t="shared" si="0"/>
        <v>1.5</v>
      </c>
      <c r="U8" s="3">
        <v>0</v>
      </c>
      <c r="V8" s="3">
        <v>1.35</v>
      </c>
    </row>
    <row r="9" spans="1:34" x14ac:dyDescent="0.25">
      <c r="C9" s="2"/>
      <c r="D9" s="3"/>
      <c r="E9" s="3"/>
      <c r="F9" s="3"/>
      <c r="S9" s="2">
        <v>200</v>
      </c>
      <c r="T9" s="3">
        <f t="shared" si="0"/>
        <v>1.5</v>
      </c>
      <c r="U9" s="3">
        <v>0</v>
      </c>
      <c r="V9" s="3">
        <v>1.35</v>
      </c>
    </row>
    <row r="10" spans="1:34" x14ac:dyDescent="0.25">
      <c r="C10" s="2"/>
      <c r="D10" s="3"/>
      <c r="E10" s="3"/>
      <c r="F10" s="3"/>
      <c r="S10" s="2">
        <v>220</v>
      </c>
      <c r="T10" s="3">
        <f t="shared" si="0"/>
        <v>1.5</v>
      </c>
      <c r="U10" s="3">
        <v>0</v>
      </c>
      <c r="V10" s="3">
        <v>1.42</v>
      </c>
    </row>
    <row r="11" spans="1:34" hidden="1" x14ac:dyDescent="0.25">
      <c r="C11" s="2"/>
      <c r="D11" s="3"/>
      <c r="E11" s="3"/>
      <c r="F11" s="3"/>
      <c r="S11" s="2">
        <v>1200</v>
      </c>
      <c r="T11" s="3">
        <f t="shared" si="0"/>
        <v>1.5</v>
      </c>
      <c r="U11" s="3">
        <v>0</v>
      </c>
      <c r="V11" s="3">
        <v>1.37</v>
      </c>
    </row>
    <row r="12" spans="1:34" x14ac:dyDescent="0.25">
      <c r="C12" s="2"/>
      <c r="D12" s="3"/>
      <c r="E12" s="3"/>
      <c r="F12" s="3"/>
    </row>
    <row r="17" spans="1:17" x14ac:dyDescent="0.25">
      <c r="D17" s="4"/>
      <c r="E17" s="4"/>
      <c r="F17" s="4"/>
      <c r="G17" s="4"/>
      <c r="H17" s="4"/>
      <c r="I17" s="4"/>
    </row>
    <row r="18" spans="1:17" x14ac:dyDescent="0.25">
      <c r="F18" s="3"/>
      <c r="G18" s="3"/>
    </row>
    <row r="19" spans="1:17" x14ac:dyDescent="0.25">
      <c r="F19" s="3"/>
      <c r="G19" s="3"/>
    </row>
    <row r="20" spans="1:17" x14ac:dyDescent="0.25">
      <c r="F20" s="3"/>
      <c r="G20" s="3"/>
    </row>
    <row r="21" spans="1:17" x14ac:dyDescent="0.25">
      <c r="F21" s="3"/>
      <c r="G21" s="3"/>
    </row>
    <row r="22" spans="1:17" ht="26.25" x14ac:dyDescent="0.25">
      <c r="A22" s="41" t="s">
        <v>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C24" s="5"/>
      <c r="D24" s="6"/>
      <c r="E24" s="15"/>
      <c r="F24" s="13"/>
      <c r="G24" s="13"/>
      <c r="H24" s="15"/>
      <c r="I24" s="42">
        <f>E31+I31+M31</f>
        <v>4</v>
      </c>
      <c r="J24" s="15"/>
      <c r="K24" s="13"/>
      <c r="L24" s="13"/>
      <c r="M24" s="15"/>
      <c r="N24" s="7"/>
      <c r="O24" s="5"/>
      <c r="P24" s="5"/>
      <c r="Q24" s="5"/>
    </row>
    <row r="25" spans="1:17" x14ac:dyDescent="0.25">
      <c r="C25" s="5"/>
      <c r="D25" s="11"/>
      <c r="E25" s="16"/>
      <c r="F25" s="10"/>
      <c r="G25" s="10"/>
      <c r="H25" s="16"/>
      <c r="I25" s="43"/>
      <c r="J25" s="16"/>
      <c r="K25" s="10"/>
      <c r="L25" s="10"/>
      <c r="M25" s="16"/>
      <c r="N25" s="19"/>
      <c r="O25" s="5"/>
      <c r="P25" s="5"/>
      <c r="Q25" s="5"/>
    </row>
    <row r="26" spans="1:17" x14ac:dyDescent="0.25">
      <c r="C26" s="2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24"/>
      <c r="P26" s="5"/>
      <c r="Q26" s="5"/>
    </row>
    <row r="27" spans="1:17" ht="60" customHeight="1" x14ac:dyDescent="0.25">
      <c r="A27" s="10"/>
      <c r="B27" s="11"/>
      <c r="C27" s="5"/>
      <c r="D27" s="20"/>
      <c r="E27" s="10"/>
      <c r="F27" s="21"/>
      <c r="G27" s="48"/>
      <c r="H27" s="49"/>
      <c r="I27" s="30"/>
      <c r="J27" s="50"/>
      <c r="K27" s="51"/>
      <c r="L27" s="22"/>
      <c r="M27" s="10"/>
      <c r="N27" s="23"/>
      <c r="O27" s="5"/>
      <c r="P27" s="10"/>
      <c r="Q27" s="11"/>
    </row>
    <row r="28" spans="1:17" ht="60" customHeight="1" x14ac:dyDescent="0.25">
      <c r="A28" s="43">
        <f>P28</f>
        <v>1.5</v>
      </c>
      <c r="B28" s="43"/>
      <c r="C28" s="5"/>
      <c r="D28" s="31"/>
      <c r="E28" s="18"/>
      <c r="F28" s="5"/>
      <c r="G28" s="52"/>
      <c r="H28" s="53"/>
      <c r="I28" s="5"/>
      <c r="J28" s="53"/>
      <c r="K28" s="54"/>
      <c r="L28" s="55" t="s">
        <v>8</v>
      </c>
      <c r="M28" s="56"/>
      <c r="N28" s="57"/>
      <c r="O28" s="12"/>
      <c r="P28" s="43">
        <f>T5</f>
        <v>1.5</v>
      </c>
      <c r="Q28" s="43"/>
    </row>
    <row r="29" spans="1:17" ht="60" customHeight="1" x14ac:dyDescent="0.25">
      <c r="A29" s="13"/>
      <c r="B29" s="14"/>
      <c r="C29" s="24"/>
      <c r="D29" s="25"/>
      <c r="E29" s="24"/>
      <c r="F29" s="26"/>
      <c r="G29" s="44"/>
      <c r="H29" s="45"/>
      <c r="I29" s="29"/>
      <c r="J29" s="46"/>
      <c r="K29" s="47"/>
      <c r="L29" s="27"/>
      <c r="M29" s="24"/>
      <c r="N29" s="28"/>
      <c r="O29" s="25"/>
      <c r="P29" s="13"/>
      <c r="Q29" s="14"/>
    </row>
    <row r="30" spans="1:17" x14ac:dyDescent="0.25">
      <c r="C30" s="5"/>
      <c r="D30" s="5"/>
      <c r="E30" s="5"/>
      <c r="F30" s="5"/>
      <c r="G30" s="5"/>
      <c r="H30" s="5"/>
      <c r="I30" s="10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C31" s="5"/>
      <c r="D31" s="14"/>
      <c r="E31" s="42">
        <f>A28/2</f>
        <v>0.75</v>
      </c>
      <c r="F31" s="32"/>
      <c r="G31" s="6"/>
      <c r="H31" s="15"/>
      <c r="I31" s="43">
        <v>2.5</v>
      </c>
      <c r="J31" s="15"/>
      <c r="K31" s="7"/>
      <c r="L31" s="14"/>
      <c r="M31" s="42">
        <f>E31</f>
        <v>0.75</v>
      </c>
      <c r="N31" s="32"/>
      <c r="O31" s="5"/>
      <c r="P31" s="5"/>
      <c r="Q31" s="5"/>
    </row>
    <row r="32" spans="1:17" x14ac:dyDescent="0.25">
      <c r="C32" s="5"/>
      <c r="D32" s="33"/>
      <c r="E32" s="43"/>
      <c r="F32" s="34"/>
      <c r="G32" s="8"/>
      <c r="H32" s="16"/>
      <c r="I32" s="43"/>
      <c r="J32" s="16"/>
      <c r="K32" s="9"/>
      <c r="L32" s="33"/>
      <c r="M32" s="43"/>
      <c r="N32" s="34"/>
      <c r="O32" s="5"/>
      <c r="P32" s="5"/>
      <c r="Q32" s="5"/>
    </row>
    <row r="33" spans="1:17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26.25" x14ac:dyDescent="0.25">
      <c r="A34" s="41" t="s">
        <v>7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</sheetData>
  <mergeCells count="21">
    <mergeCell ref="A34:Q34"/>
    <mergeCell ref="L28:N28"/>
    <mergeCell ref="P28:Q28"/>
    <mergeCell ref="G29:H29"/>
    <mergeCell ref="J29:K29"/>
    <mergeCell ref="E31:E32"/>
    <mergeCell ref="I31:I32"/>
    <mergeCell ref="M31:M32"/>
    <mergeCell ref="I24:I25"/>
    <mergeCell ref="G27:H27"/>
    <mergeCell ref="J27:K27"/>
    <mergeCell ref="A28:B28"/>
    <mergeCell ref="G28:H28"/>
    <mergeCell ref="J28:K28"/>
    <mergeCell ref="A22:Q22"/>
    <mergeCell ref="A1:D2"/>
    <mergeCell ref="E1:Q2"/>
    <mergeCell ref="R1:U1"/>
    <mergeCell ref="V1:AH1"/>
    <mergeCell ref="R2:U2"/>
    <mergeCell ref="V2:AH2"/>
  </mergeCells>
  <pageMargins left="0.7" right="0.47" top="0.73" bottom="0.8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"/>
  <sheetViews>
    <sheetView topLeftCell="A19" workbookViewId="0">
      <selection activeCell="AD16" sqref="AD16"/>
    </sheetView>
  </sheetViews>
  <sheetFormatPr defaultColWidth="5.7109375" defaultRowHeight="15" x14ac:dyDescent="0.25"/>
  <cols>
    <col min="1" max="3" width="3.28515625" style="1" customWidth="1"/>
    <col min="4" max="14" width="5.7109375" style="1" customWidth="1"/>
    <col min="15" max="17" width="3.28515625" style="1" customWidth="1"/>
    <col min="18" max="16384" width="5.7109375" style="1"/>
  </cols>
  <sheetData>
    <row r="1" spans="1:22" ht="33.75" customHeight="1" x14ac:dyDescent="0.25">
      <c r="A1" s="38" t="s">
        <v>1</v>
      </c>
      <c r="B1" s="38"/>
      <c r="C1" s="38"/>
      <c r="D1" s="38"/>
      <c r="E1" s="39" t="s">
        <v>11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22" ht="3" customHeight="1" x14ac:dyDescent="0.25">
      <c r="A2" s="38"/>
      <c r="B2" s="38"/>
      <c r="C2" s="38"/>
      <c r="D2" s="38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4" spans="1:22" x14ac:dyDescent="0.25"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S4" s="1" t="s">
        <v>2</v>
      </c>
      <c r="T4" s="1" t="s">
        <v>3</v>
      </c>
      <c r="U4" s="1" t="s">
        <v>4</v>
      </c>
      <c r="V4" s="1" t="s">
        <v>5</v>
      </c>
    </row>
    <row r="5" spans="1:22" x14ac:dyDescent="0.25">
      <c r="S5" s="2">
        <v>0</v>
      </c>
      <c r="T5" s="3">
        <v>2.5</v>
      </c>
      <c r="U5" s="3">
        <v>0</v>
      </c>
      <c r="V5" s="3">
        <v>1.1399999999999999</v>
      </c>
    </row>
    <row r="6" spans="1:22" x14ac:dyDescent="0.25">
      <c r="C6" s="2"/>
      <c r="D6" s="3"/>
      <c r="E6" s="3"/>
      <c r="F6" s="3"/>
      <c r="S6" s="2">
        <v>50</v>
      </c>
      <c r="T6" s="3">
        <f t="shared" ref="T6:T11" si="0">T5</f>
        <v>2.5</v>
      </c>
      <c r="U6" s="3">
        <v>0</v>
      </c>
      <c r="V6" s="3">
        <v>0.94</v>
      </c>
    </row>
    <row r="7" spans="1:22" x14ac:dyDescent="0.25">
      <c r="C7" s="2"/>
      <c r="D7" s="3"/>
      <c r="E7" s="3"/>
      <c r="F7" s="3"/>
      <c r="S7" s="2">
        <v>100</v>
      </c>
      <c r="T7" s="3">
        <f t="shared" si="0"/>
        <v>2.5</v>
      </c>
      <c r="U7" s="3">
        <v>0</v>
      </c>
      <c r="V7" s="3">
        <v>1.18</v>
      </c>
    </row>
    <row r="8" spans="1:22" x14ac:dyDescent="0.25">
      <c r="C8" s="2"/>
      <c r="D8" s="3"/>
      <c r="E8" s="3"/>
      <c r="F8" s="3"/>
      <c r="S8" s="2">
        <v>150</v>
      </c>
      <c r="T8" s="3">
        <f t="shared" si="0"/>
        <v>2.5</v>
      </c>
      <c r="U8" s="3">
        <v>0</v>
      </c>
      <c r="V8" s="3">
        <v>1.1499999999999999</v>
      </c>
    </row>
    <row r="9" spans="1:22" x14ac:dyDescent="0.25">
      <c r="C9" s="2"/>
      <c r="D9" s="3"/>
      <c r="E9" s="3"/>
      <c r="F9" s="3"/>
      <c r="S9" s="2">
        <v>200</v>
      </c>
      <c r="T9" s="3">
        <f t="shared" si="0"/>
        <v>2.5</v>
      </c>
      <c r="U9" s="3">
        <v>0</v>
      </c>
      <c r="V9" s="3">
        <v>1.1499999999999999</v>
      </c>
    </row>
    <row r="10" spans="1:22" x14ac:dyDescent="0.25">
      <c r="C10" s="2"/>
      <c r="D10" s="3"/>
      <c r="E10" s="3"/>
      <c r="F10" s="3"/>
      <c r="S10" s="2">
        <v>220</v>
      </c>
      <c r="T10" s="3">
        <f t="shared" si="0"/>
        <v>2.5</v>
      </c>
      <c r="U10" s="3">
        <v>0</v>
      </c>
      <c r="V10" s="3">
        <v>1.22</v>
      </c>
    </row>
    <row r="11" spans="1:22" hidden="1" x14ac:dyDescent="0.25">
      <c r="C11" s="2"/>
      <c r="D11" s="3"/>
      <c r="E11" s="3"/>
      <c r="F11" s="3"/>
      <c r="S11" s="2">
        <v>1200</v>
      </c>
      <c r="T11" s="3">
        <f t="shared" si="0"/>
        <v>2.5</v>
      </c>
      <c r="U11" s="3">
        <v>0</v>
      </c>
      <c r="V11" s="3">
        <v>1.37</v>
      </c>
    </row>
    <row r="12" spans="1:22" x14ac:dyDescent="0.25">
      <c r="C12" s="2"/>
      <c r="D12" s="3"/>
      <c r="E12" s="3"/>
      <c r="F12" s="3"/>
    </row>
    <row r="17" spans="1:17" x14ac:dyDescent="0.25">
      <c r="D17" s="4"/>
      <c r="E17" s="4"/>
      <c r="F17" s="4"/>
      <c r="G17" s="4"/>
      <c r="H17" s="4"/>
      <c r="I17" s="4"/>
    </row>
    <row r="18" spans="1:17" x14ac:dyDescent="0.25">
      <c r="F18" s="3"/>
      <c r="G18" s="3"/>
    </row>
    <row r="19" spans="1:17" x14ac:dyDescent="0.25">
      <c r="F19" s="3"/>
      <c r="G19" s="3"/>
    </row>
    <row r="20" spans="1:17" x14ac:dyDescent="0.25">
      <c r="F20" s="3"/>
      <c r="G20" s="3"/>
    </row>
    <row r="21" spans="1:17" x14ac:dyDescent="0.25">
      <c r="F21" s="3"/>
      <c r="G21" s="3"/>
    </row>
    <row r="22" spans="1:17" ht="26.25" x14ac:dyDescent="0.25">
      <c r="A22" s="41" t="s">
        <v>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C24" s="5"/>
      <c r="D24" s="6"/>
      <c r="E24" s="15"/>
      <c r="F24" s="13"/>
      <c r="G24" s="13"/>
      <c r="H24" s="15"/>
      <c r="I24" s="42">
        <f>E31+I31+M31</f>
        <v>9</v>
      </c>
      <c r="J24" s="15"/>
      <c r="K24" s="13"/>
      <c r="L24" s="13"/>
      <c r="M24" s="15"/>
      <c r="N24" s="7"/>
      <c r="O24" s="5"/>
      <c r="P24" s="5"/>
      <c r="Q24" s="5"/>
    </row>
    <row r="25" spans="1:17" x14ac:dyDescent="0.25">
      <c r="C25" s="5"/>
      <c r="D25" s="11"/>
      <c r="E25" s="16"/>
      <c r="F25" s="10"/>
      <c r="G25" s="10"/>
      <c r="H25" s="16"/>
      <c r="I25" s="43"/>
      <c r="J25" s="16"/>
      <c r="K25" s="10"/>
      <c r="L25" s="10"/>
      <c r="M25" s="16"/>
      <c r="N25" s="19"/>
      <c r="O25" s="5"/>
      <c r="P25" s="5"/>
      <c r="Q25" s="5"/>
    </row>
    <row r="26" spans="1:17" x14ac:dyDescent="0.25">
      <c r="C26" s="2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24"/>
      <c r="P26" s="5"/>
      <c r="Q26" s="5"/>
    </row>
    <row r="27" spans="1:17" ht="60" customHeight="1" x14ac:dyDescent="0.25">
      <c r="A27" s="10"/>
      <c r="B27" s="11"/>
      <c r="C27" s="5"/>
      <c r="D27" s="20"/>
      <c r="E27" s="10"/>
      <c r="F27" s="21"/>
      <c r="G27" s="48"/>
      <c r="H27" s="49"/>
      <c r="I27" s="30"/>
      <c r="J27" s="50"/>
      <c r="K27" s="51"/>
      <c r="L27" s="22"/>
      <c r="M27" s="10"/>
      <c r="N27" s="23"/>
      <c r="O27" s="5"/>
      <c r="P27" s="10"/>
      <c r="Q27" s="11"/>
    </row>
    <row r="28" spans="1:17" ht="60" customHeight="1" x14ac:dyDescent="0.25">
      <c r="A28" s="43">
        <v>2.5</v>
      </c>
      <c r="B28" s="43"/>
      <c r="C28" s="5"/>
      <c r="D28" s="31"/>
      <c r="E28" s="18"/>
      <c r="F28" s="5"/>
      <c r="G28" s="52"/>
      <c r="H28" s="53"/>
      <c r="I28" s="5"/>
      <c r="J28" s="53"/>
      <c r="K28" s="54"/>
      <c r="L28" s="55" t="s">
        <v>9</v>
      </c>
      <c r="M28" s="56"/>
      <c r="N28" s="57"/>
      <c r="O28" s="12"/>
      <c r="P28" s="43">
        <v>2.5</v>
      </c>
      <c r="Q28" s="43"/>
    </row>
    <row r="29" spans="1:17" ht="60" customHeight="1" x14ac:dyDescent="0.25">
      <c r="A29" s="13"/>
      <c r="B29" s="14"/>
      <c r="C29" s="24"/>
      <c r="D29" s="25"/>
      <c r="E29" s="24"/>
      <c r="F29" s="26"/>
      <c r="G29" s="44"/>
      <c r="H29" s="45"/>
      <c r="I29" s="29"/>
      <c r="J29" s="46"/>
      <c r="K29" s="47"/>
      <c r="L29" s="27"/>
      <c r="M29" s="24"/>
      <c r="N29" s="28"/>
      <c r="O29" s="25"/>
      <c r="P29" s="13"/>
      <c r="Q29" s="14"/>
    </row>
    <row r="30" spans="1:17" x14ac:dyDescent="0.25">
      <c r="C30" s="5"/>
      <c r="D30" s="5"/>
      <c r="E30" s="5"/>
      <c r="F30" s="5"/>
      <c r="G30" s="5"/>
      <c r="H30" s="5"/>
      <c r="I30" s="10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C31" s="5"/>
      <c r="D31" s="14"/>
      <c r="E31" s="42">
        <f>A28/2</f>
        <v>1.25</v>
      </c>
      <c r="F31" s="32"/>
      <c r="G31" s="6"/>
      <c r="H31" s="15"/>
      <c r="I31" s="43">
        <v>6.5</v>
      </c>
      <c r="J31" s="15"/>
      <c r="K31" s="7"/>
      <c r="L31" s="14"/>
      <c r="M31" s="42">
        <f>P28/2</f>
        <v>1.25</v>
      </c>
      <c r="N31" s="32"/>
      <c r="O31" s="5"/>
      <c r="P31" s="5"/>
      <c r="Q31" s="5"/>
    </row>
    <row r="32" spans="1:17" x14ac:dyDescent="0.25">
      <c r="C32" s="5"/>
      <c r="D32" s="33"/>
      <c r="E32" s="43"/>
      <c r="F32" s="34"/>
      <c r="G32" s="8"/>
      <c r="H32" s="16"/>
      <c r="I32" s="43"/>
      <c r="J32" s="16"/>
      <c r="K32" s="9"/>
      <c r="L32" s="33"/>
      <c r="M32" s="43"/>
      <c r="N32" s="34"/>
      <c r="O32" s="5"/>
      <c r="P32" s="5"/>
      <c r="Q32" s="5"/>
    </row>
    <row r="33" spans="1:17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26.25" x14ac:dyDescent="0.25">
      <c r="A34" s="41" t="s">
        <v>7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</row>
  </sheetData>
  <mergeCells count="17">
    <mergeCell ref="M31:M32"/>
    <mergeCell ref="A1:D2"/>
    <mergeCell ref="E1:Q2"/>
    <mergeCell ref="A34:Q34"/>
    <mergeCell ref="A22:Q22"/>
    <mergeCell ref="I24:I25"/>
    <mergeCell ref="I31:I32"/>
    <mergeCell ref="G29:H29"/>
    <mergeCell ref="J29:K29"/>
    <mergeCell ref="P28:Q28"/>
    <mergeCell ref="G27:H27"/>
    <mergeCell ref="J27:K27"/>
    <mergeCell ref="G28:H28"/>
    <mergeCell ref="J28:K28"/>
    <mergeCell ref="L28:N28"/>
    <mergeCell ref="A28:B28"/>
    <mergeCell ref="E31:E32"/>
  </mergeCells>
  <pageMargins left="0.7" right="0.47" top="0.73" bottom="0.8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 (3)</vt:lpstr>
      <vt:lpstr>Sheet1 (2)</vt:lpstr>
      <vt:lpstr>Sheet1</vt:lpstr>
      <vt:lpstr>Sheet2</vt:lpstr>
      <vt:lpstr>Sheet3</vt:lpstr>
      <vt:lpstr>Sheet1!Print_Area</vt:lpstr>
      <vt:lpstr>'Sheet1 (2)'!Print_Area</vt:lpstr>
      <vt:lpstr>'Sheet1 (3)'!Print_Area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 ASREY</dc:creator>
  <cp:keywords/>
  <dc:description/>
  <cp:lastModifiedBy>Prashant Jaiswar</cp:lastModifiedBy>
  <cp:revision/>
  <cp:lastPrinted>2026-04-29T02:45:36Z</cp:lastPrinted>
  <dcterms:created xsi:type="dcterms:W3CDTF">2023-11-09T02:39:12Z</dcterms:created>
  <dcterms:modified xsi:type="dcterms:W3CDTF">2026-04-30T03:31:27Z</dcterms:modified>
  <cp:category/>
  <cp:contentStatus/>
</cp:coreProperties>
</file>